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sktop\modeling-repo\results\"/>
    </mc:Choice>
  </mc:AlternateContent>
  <xr:revisionPtr revIDLastSave="0" documentId="13_ncr:1_{21388CD5-94FA-45DE-84CC-C82C8D0E41E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填写说明" sheetId="1" r:id="rId1"/>
    <sheet name="Q1_单点组批" sheetId="2" r:id="rId2"/>
    <sheet name="Q2_运输架次" sheetId="3" r:id="rId3"/>
    <sheet name="Q2_逐箱交付" sheetId="4" r:id="rId4"/>
    <sheet name="Q3_中继架次" sheetId="5" r:id="rId5"/>
    <sheet name="Q3_通信保障" sheetId="6" r:id="rId6"/>
    <sheet name="Q4_分区配置" sheetId="7" r:id="rId7"/>
    <sheet name="Q1_架次明细" sheetId="8" r:id="rId8"/>
    <sheet name="Q1_方法对比" sheetId="9" r:id="rId9"/>
    <sheet name="Q1_安全载荷" sheetId="10" r:id="rId10"/>
    <sheet name="Q1_敏感性" sheetId="11" r:id="rId11"/>
    <sheet name="Q1_约束核验" sheetId="12" r:id="rId12"/>
    <sheet name="Q1_路线几何" sheetId="13" r:id="rId13"/>
  </sheets>
  <definedNames>
    <definedName name="_xlnm._FilterDatabase" localSheetId="9" hidden="1">Q1_安全载荷!$A$1:$N$46</definedName>
    <definedName name="_xlnm._FilterDatabase" localSheetId="1" hidden="1">Q1_单点组批!$A$1:$I$19</definedName>
    <definedName name="_xlnm._FilterDatabase" localSheetId="8" hidden="1">Q1_方法对比!$A$1:$M$5</definedName>
    <definedName name="_xlnm._FilterDatabase" localSheetId="7" hidden="1">Q1_架次明细!$A$1:$V$19</definedName>
    <definedName name="_xlnm._FilterDatabase" localSheetId="12" hidden="1">Q1_路线几何!$A$1:$K$16</definedName>
    <definedName name="_xlnm._FilterDatabase" localSheetId="10" hidden="1">Q1_敏感性!$A$1:$P$6</definedName>
    <definedName name="_xlnm._FilterDatabase" localSheetId="11" hidden="1">Q1_约束核验!$A$1:$N$5</definedName>
  </definedNames>
  <calcPr calcId="191029"/>
</workbook>
</file>

<file path=xl/calcChain.xml><?xml version="1.0" encoding="utf-8"?>
<calcChain xmlns="http://schemas.openxmlformats.org/spreadsheetml/2006/main">
  <c r="H20" i="2" l="1"/>
  <c r="G20" i="2"/>
</calcChain>
</file>

<file path=xl/sharedStrings.xml><?xml version="1.0" encoding="utf-8"?>
<sst xmlns="http://schemas.openxmlformats.org/spreadsheetml/2006/main" count="714" uniqueCount="319">
  <si>
    <t>运输架次编号</t>
  </si>
  <si>
    <t>通信阶段</t>
  </si>
  <si>
    <t>开始时刻（s）</t>
  </si>
  <si>
    <t>结束时刻（s）</t>
  </si>
  <si>
    <t>保障方式</t>
  </si>
  <si>
    <t>中继架次编号</t>
  </si>
  <si>
    <t>D题问题一结果提交与详细对比</t>
  </si>
  <si>
    <t>文件用途</t>
  </si>
  <si>
    <t>基于题目提供的结果提交模板，仅填写问题一；Q2-Q4 保留原模板表头和空白区域。</t>
  </si>
  <si>
    <t>输入 ZIP SHA-256</t>
  </si>
  <si>
    <t>BBB4C17705B70B1BA365523AB189810305DB86D6457AED5F4F5587274E4D07B4</t>
  </si>
  <si>
    <t>计算范围</t>
  </si>
  <si>
    <t>固定服务区内 O01→S_i→O01 单点往返；不可拆货箱；允许同一服务区多架次；不跨服务区组批。</t>
  </si>
  <si>
    <t>选定方案</t>
  </si>
  <si>
    <t>local search from MILP；18 架次；63.05857757 kWh；19426.76125805 s。</t>
  </si>
  <si>
    <t>能耗模型状态</t>
  </si>
  <si>
    <t>E_hor 与 E_up 子公式未在题面展开；当前使用 src.problem_energy_provider.py 登记的 reference-model-A-v1，表内数值为条件性结果。</t>
  </si>
  <si>
    <t>比较口径</t>
  </si>
  <si>
    <t>架次/能耗/时间节省均相对 FFD baseline 计算，节省为正；MILP 仅对架次最小化，MILP+local search 不宣称全局最优。</t>
  </si>
  <si>
    <t>Skill 版本</t>
  </si>
  <si>
    <t>math-modeling 1.3.0；源仓库 commit 2b0322483699e87a7afecdd3fe4c4cb4858681be。</t>
  </si>
  <si>
    <t>原始附件</t>
  </si>
  <si>
    <t>data/raw/D题 下的快照已设为只读；本工作簿另存于 results，不修改原始模板。</t>
  </si>
  <si>
    <t>架次编号</t>
  </si>
  <si>
    <t>服务区编号</t>
  </si>
  <si>
    <t>机型编号</t>
  </si>
  <si>
    <t>货箱编号列表</t>
  </si>
  <si>
    <t>总质量（kg）</t>
  </si>
  <si>
    <t>总体积（m³）</t>
  </si>
  <si>
    <t>往返时间（s）</t>
  </si>
  <si>
    <t>架次能耗（kWh）</t>
  </si>
  <si>
    <t>返航SOC（%）</t>
  </si>
  <si>
    <t>Q1-001</t>
  </si>
  <si>
    <t>S001</t>
  </si>
  <si>
    <t>C</t>
  </si>
  <si>
    <t>S001-MED-01;S001-MED-02;S001-FOD-02;S001-FOD-03;S001-HYG-01;S001-HYG-02;S001-WAT-01;S001-WAT-02;S001-WAT-03</t>
  </si>
  <si>
    <t>Q1-002</t>
  </si>
  <si>
    <t>S001-WAT-04;S001-WAT-06;S001-FOD-01;S001-WAT-08;S001-WAT-07;S001-WAT-05</t>
  </si>
  <si>
    <t>Q1-003</t>
  </si>
  <si>
    <t>S002</t>
  </si>
  <si>
    <t>S002-FOD-01;S002-FOD-02;S002-HYG-01;S002-MED-01;S002-WAT-01</t>
  </si>
  <si>
    <t>Q1-004</t>
  </si>
  <si>
    <t>S002-WAT-04;S002-WAT-03;S002-WAT-02</t>
  </si>
  <si>
    <t>Q1-005</t>
  </si>
  <si>
    <t>S003</t>
  </si>
  <si>
    <t>S003-FOD-02;S003-HYG-01;S003-WAT-01;S003-WAT-02</t>
  </si>
  <si>
    <t>Q1-006</t>
  </si>
  <si>
    <t>S003-MED-01;S003-FOD-01;S003-WAT-04;S003-WAT-03</t>
  </si>
  <si>
    <t>Q1-007</t>
  </si>
  <si>
    <t>S004</t>
  </si>
  <si>
    <t>S004-MED-01;S004-WAT-01;S004-WAT-02;S004-WAT-03;S004-FOD-01;S004-HYG-01</t>
  </si>
  <si>
    <t>Q1-008</t>
  </si>
  <si>
    <t>S005</t>
  </si>
  <si>
    <t>S005-MED-01;S005-WAT-01;S005-WAT-02;S005-WAT-03;S005-FOD-01;S005-HYG-01</t>
  </si>
  <si>
    <t>Q1-009</t>
  </si>
  <si>
    <t>S006</t>
  </si>
  <si>
    <t>S006-MED-01;S006-WAT-01;S006-WAT-02;S006-WAT-03;S006-FOD-01;S006-HYG-01</t>
  </si>
  <si>
    <t>Q1-010</t>
  </si>
  <si>
    <t>S007</t>
  </si>
  <si>
    <t>S007-MED-01;S007-WAT-01;S007-WAT-02;S007-FOD-01;S007-HYG-01</t>
  </si>
  <si>
    <t>Q1-011</t>
  </si>
  <si>
    <t>S008</t>
  </si>
  <si>
    <t>S008-MED-01;S008-WAT-01;S008-WAT-02;S008-FOD-01;S008-HYG-01</t>
  </si>
  <si>
    <t>Q1-012</t>
  </si>
  <si>
    <t>S009</t>
  </si>
  <si>
    <t>B</t>
  </si>
  <si>
    <t>S009-MED-01;S009-WAT-01;S009-FOD-01</t>
  </si>
  <si>
    <t>Q1-013</t>
  </si>
  <si>
    <t>S010</t>
  </si>
  <si>
    <t>S010-MED-01;S010-WAT-01;S010-FOD-01</t>
  </si>
  <si>
    <t>Q1-014</t>
  </si>
  <si>
    <t>S011</t>
  </si>
  <si>
    <t>S011-MED-01;S011-WAT-01;S011-FOD-01</t>
  </si>
  <si>
    <t>Q1-015</t>
  </si>
  <si>
    <t>S012</t>
  </si>
  <si>
    <t>S012-MED-01;S012-WAT-01;S012-FOD-01</t>
  </si>
  <si>
    <t>Q1-016</t>
  </si>
  <si>
    <t>S013</t>
  </si>
  <si>
    <t>S013-MED-01;S013-WAT-01;S013-FOD-01</t>
  </si>
  <si>
    <t>Q1-017</t>
  </si>
  <si>
    <t>S014</t>
  </si>
  <si>
    <t>S014-MED-01;S014-WAT-01;S014-FOD-01</t>
  </si>
  <si>
    <t>Q1-018</t>
  </si>
  <si>
    <t>S015</t>
  </si>
  <si>
    <t>S015-MED-01;S015-WAT-01;S015-FOD-01</t>
  </si>
  <si>
    <t>无人机编号</t>
  </si>
  <si>
    <t>电池编号</t>
  </si>
  <si>
    <t>访问服务区顺序</t>
  </si>
  <si>
    <t>返回O01时刻（s）</t>
  </si>
  <si>
    <t>货箱编号</t>
  </si>
  <si>
    <t>交付完成时刻（s）</t>
  </si>
  <si>
    <t>中继无人机编号</t>
  </si>
  <si>
    <t>能源组件编号</t>
  </si>
  <si>
    <t>悬停经度（°）</t>
  </si>
  <si>
    <t>悬停纬度（°）</t>
  </si>
  <si>
    <t>悬停海拔（m）</t>
  </si>
  <si>
    <t>建链完成时刻（s）</t>
  </si>
  <si>
    <t>服务结束时刻（s）</t>
  </si>
  <si>
    <t>K（2或3）</t>
  </si>
  <si>
    <t>任务组编号</t>
  </si>
  <si>
    <t>服务区列表</t>
  </si>
  <si>
    <t>A型运输无人机数</t>
  </si>
  <si>
    <t>B型运输无人机数</t>
  </si>
  <si>
    <t>C型运输无人机数</t>
  </si>
  <si>
    <t>A型电池组数</t>
  </si>
  <si>
    <t>B型电池组数</t>
  </si>
  <si>
    <t>C型电池组数</t>
  </si>
  <si>
    <t>中继无人机数</t>
  </si>
  <si>
    <t>中继能源组件数</t>
  </si>
  <si>
    <t>货箱数</t>
  </si>
  <si>
    <t>总质量_kg</t>
  </si>
  <si>
    <t>安全载荷_kg</t>
  </si>
  <si>
    <t>质量余量_kg</t>
  </si>
  <si>
    <t>质量利用率_%</t>
  </si>
  <si>
    <t>总体积_m3</t>
  </si>
  <si>
    <t>机型体积上限_m3</t>
  </si>
  <si>
    <t>体积余量_m3</t>
  </si>
  <si>
    <t>体积利用率_%</t>
  </si>
  <si>
    <t>单程距离_m</t>
  </si>
  <si>
    <t>往返距离_m</t>
  </si>
  <si>
    <t>安全载荷对应航程_m</t>
  </si>
  <si>
    <t>航程余量_m</t>
  </si>
  <si>
    <t>架次能耗_kWh</t>
  </si>
  <si>
    <t>允许任务能量_kWh</t>
  </si>
  <si>
    <t>能耗占允许_%</t>
  </si>
  <si>
    <t>往返时间_s</t>
  </si>
  <si>
    <t>返航SOC_%</t>
  </si>
  <si>
    <t>方法</t>
  </si>
  <si>
    <t>架次数</t>
  </si>
  <si>
    <t>架次节省_架</t>
  </si>
  <si>
    <t>架次节省_%</t>
  </si>
  <si>
    <t>总运输能耗_kWh</t>
  </si>
  <si>
    <t>能耗节省_kWh</t>
  </si>
  <si>
    <t>能耗节省_%</t>
  </si>
  <si>
    <t>累计作业时间_s</t>
  </si>
  <si>
    <t>时间节省_s</t>
  </si>
  <si>
    <t>时间节省_%</t>
  </si>
  <si>
    <t>搜索是否完整</t>
  </si>
  <si>
    <t>约束验证</t>
  </si>
  <si>
    <t>说明</t>
  </si>
  <si>
    <t>FFD baseline</t>
  </si>
  <si>
    <t>否</t>
  </si>
  <si>
    <t>是</t>
  </si>
  <si>
    <t>确定性首个可行架次基线，不宣称最优</t>
  </si>
  <si>
    <t>local search</t>
  </si>
  <si>
    <t>同服务区 relocate/swap，字典序目标为架次、能耗、时间</t>
  </si>
  <si>
    <t>MILP minimum-sortie</t>
  </si>
  <si>
    <t>质量/体积/安全载荷容量 MILP；30 s 内搜索完整</t>
  </si>
  <si>
    <t>MILP + local search</t>
  </si>
  <si>
    <t>从 MILP 解出发做局部搜索；改善能耗但不宣称全局最优</t>
  </si>
  <si>
    <t>返航余量ρ</t>
  </si>
  <si>
    <t>最大安全载荷_kg</t>
  </si>
  <si>
    <t>额定最大载荷_kg</t>
  </si>
  <si>
    <t>安全载荷占额定_%</t>
  </si>
  <si>
    <t>往返能耗_kWh</t>
  </si>
  <si>
    <t>能量余量_kWh</t>
  </si>
  <si>
    <t>零载荷是否可行</t>
  </si>
  <si>
    <t>搜索方法</t>
  </si>
  <si>
    <t>A</t>
  </si>
  <si>
    <t>endpoint-check</t>
  </si>
  <si>
    <t>bisection-with-endpoint-check</t>
  </si>
  <si>
    <t>FFD架次</t>
  </si>
  <si>
    <t>局部搜索架次</t>
  </si>
  <si>
    <t>FFD能耗_kWh</t>
  </si>
  <si>
    <t>局部搜索能耗_kWh</t>
  </si>
  <si>
    <t>局部搜索相对FFD节能_%</t>
  </si>
  <si>
    <t>FFD时间_s</t>
  </si>
  <si>
    <t>局部搜索时间_s</t>
  </si>
  <si>
    <t>A型最小安全载荷_kg</t>
  </si>
  <si>
    <t>B型最小安全载荷_kg</t>
  </si>
  <si>
    <t>C型最小安全载荷_kg</t>
  </si>
  <si>
    <t>A型受限服务区数</t>
  </si>
  <si>
    <t>B型受限服务区数</t>
  </si>
  <si>
    <t>C型受限服务区数</t>
  </si>
  <si>
    <t>相对上一ρ变化</t>
  </si>
  <si>
    <t>首个扫描点</t>
  </si>
  <si>
    <t>无架次/安全载荷指标变化</t>
  </si>
  <si>
    <t>safe_payloads_kg</t>
  </si>
  <si>
    <t>ffd.sorties, local_search.sorties, safe_payloads_kg</t>
  </si>
  <si>
    <t>总体通过</t>
  </si>
  <si>
    <t>箱体唯一覆盖</t>
  </si>
  <si>
    <t>不跨服务区</t>
  </si>
  <si>
    <t>质量容量</t>
  </si>
  <si>
    <t>体积容量</t>
  </si>
  <si>
    <t>能耗余量</t>
  </si>
  <si>
    <t>航程约束</t>
  </si>
  <si>
    <t>总量一致</t>
  </si>
  <si>
    <t>有限数值</t>
  </si>
  <si>
    <t>备注</t>
  </si>
  <si>
    <t>无</t>
  </si>
  <si>
    <t>最高地面高程_m</t>
  </si>
  <si>
    <t>巡航海拔_m</t>
  </si>
  <si>
    <t>去程爬升_m</t>
  </si>
  <si>
    <t>去程下降_m</t>
  </si>
  <si>
    <t>返程爬升_m</t>
  </si>
  <si>
    <t>返程下降_m</t>
  </si>
  <si>
    <t>A_往返飞行时间_s</t>
  </si>
  <si>
    <t>B_往返飞行时间_s</t>
  </si>
  <si>
    <t>C_往返飞行时间_s</t>
  </si>
  <si>
    <t>3053.9788435184996</t>
  </si>
  <si>
    <t>223.05661010742188</t>
  </si>
  <si>
    <t>273.0566101074219</t>
  </si>
  <si>
    <t>144.33106994628906</t>
  </si>
  <si>
    <t>89.09524536132812</t>
  </si>
  <si>
    <t>680.1757718120025</t>
  </si>
  <si>
    <t>578.3764770280526</t>
  </si>
  <si>
    <t>617.2808629126555</t>
  </si>
  <si>
    <t>7411.310455084183</t>
  </si>
  <si>
    <t>258.9542541503906</t>
  </si>
  <si>
    <t>308.9542541503906</t>
  </si>
  <si>
    <t>180.2287139892578</t>
  </si>
  <si>
    <t>90.16001892089844</t>
  </si>
  <si>
    <t>1433.5034799814784</t>
  </si>
  <si>
    <t>1186.459798145339</t>
  </si>
  <si>
    <t>1231.5245869636983</t>
  </si>
  <si>
    <t>7263.1792565565</t>
  </si>
  <si>
    <t>511.80413818359375</t>
  </si>
  <si>
    <t>561.8041381835938</t>
  </si>
  <si>
    <t>433.07859802246094</t>
  </si>
  <si>
    <t>223.29345703125</t>
  </si>
  <si>
    <t>1691.8693831321382</t>
  </si>
  <si>
    <t>1449.7634079135883</t>
  </si>
  <si>
    <t>1559.15875042254</t>
  </si>
  <si>
    <t>7714.6964491171675</t>
  </si>
  <si>
    <t>348.2391662597656</t>
  </si>
  <si>
    <t>398.2391662597656</t>
  </si>
  <si>
    <t>269.5136260986328</t>
  </si>
  <si>
    <t>173.1234130859375</t>
  </si>
  <si>
    <t>1610.383236921546</t>
  </si>
  <si>
    <t>1353.2266886176405</t>
  </si>
  <si>
    <t>1426.9995284817355</t>
  </si>
  <si>
    <t>5280.606936873044</t>
  </si>
  <si>
    <t>276.410888671875</t>
  </si>
  <si>
    <t>326.410888671875</t>
  </si>
  <si>
    <t>197.6853485107422</t>
  </si>
  <si>
    <t>127.371337890625</t>
  </si>
  <si>
    <t>1118.47605950651</t>
  </si>
  <si>
    <t>942.4558282774085</t>
  </si>
  <si>
    <t>996.6319426776364</t>
  </si>
  <si>
    <t>3186.208178413656</t>
  </si>
  <si>
    <t>316.09783935546875</t>
  </si>
  <si>
    <t>366.09783935546875</t>
  </si>
  <si>
    <t>237.37229919433594</t>
  </si>
  <si>
    <t>60.970611572265625</t>
  </si>
  <si>
    <t>749.819497631117</t>
  </si>
  <si>
    <t>643.6125583506619</t>
  </si>
  <si>
    <t>693.3363768117622</t>
  </si>
  <si>
    <t>4534.460566816074</t>
  </si>
  <si>
    <t>451.8304748535156</t>
  </si>
  <si>
    <t>501.8304748535156</t>
  </si>
  <si>
    <t>373.1049346923828</t>
  </si>
  <si>
    <t>157.60842895507812</t>
  </si>
  <si>
    <t>1144.9332278108172</t>
  </si>
  <si>
    <t>993.7845422502812</t>
  </si>
  <si>
    <t>1082.2367695248581</t>
  </si>
  <si>
    <t>8079.033112423187</t>
  </si>
  <si>
    <t>322.9093322753906</t>
  </si>
  <si>
    <t>372.9093322753906</t>
  </si>
  <si>
    <t>244.1837921142578</t>
  </si>
  <si>
    <t>94.62014770507812</t>
  </si>
  <si>
    <t>1594.9617412713776</t>
  </si>
  <si>
    <t>1325.660637523938</t>
  </si>
  <si>
    <t>1382.1279608271607</t>
  </si>
  <si>
    <t>5705.144962277037</t>
  </si>
  <si>
    <t>243.22891235351562</t>
  </si>
  <si>
    <t>293.2289123535156</t>
  </si>
  <si>
    <t>164.5033721923828</t>
  </si>
  <si>
    <t>73.79182434082031</t>
  </si>
  <si>
    <t>1125.6073045038552</t>
  </si>
  <si>
    <t>935.4358057612872</t>
  </si>
  <si>
    <t>975.1516718501543</t>
  </si>
  <si>
    <t>4784.49485164363</t>
  </si>
  <si>
    <t>385.63653564453125</t>
  </si>
  <si>
    <t>435.63653564453125</t>
  </si>
  <si>
    <t>306.91099548339844</t>
  </si>
  <si>
    <t>84.05487060546875</t>
  </si>
  <si>
    <t>1084.1241104057742</t>
  </si>
  <si>
    <t>924.6409486843199</t>
  </si>
  <si>
    <t>989.8019263657978</t>
  </si>
  <si>
    <t>2808.074232681646</t>
  </si>
  <si>
    <t>243.34902954101562</t>
  </si>
  <si>
    <t>293.3490295410156</t>
  </si>
  <si>
    <t>164.6234893798828</t>
  </si>
  <si>
    <t>85.30616760253906</t>
  </si>
  <si>
    <t>651.2941205673837</t>
  </si>
  <si>
    <t>557.6916461446622</t>
  </si>
  <si>
    <t>599.3465889750659</t>
  </si>
  <si>
    <t>7390.491686977874</t>
  </si>
  <si>
    <t>363.3009948730469</t>
  </si>
  <si>
    <t>413.3009948730469</t>
  </si>
  <si>
    <t>284.57545471191406</t>
  </si>
  <si>
    <t>129.9859161376953</t>
  </si>
  <si>
    <t>1535.7602864526925</t>
  </si>
  <si>
    <t>1289.41056355343</t>
  </si>
  <si>
    <t>1358.5041253616982</t>
  </si>
  <si>
    <t>4849.242377230511</t>
  </si>
  <si>
    <t>349.18182373046875</t>
  </si>
  <si>
    <t>399.18182373046875</t>
  </si>
  <si>
    <t>270.45628356933594</t>
  </si>
  <si>
    <t>47.4737548828125</t>
  </si>
  <si>
    <t>1041.3557577366607</t>
  </si>
  <si>
    <t>879.7143451623103</t>
  </si>
  <si>
    <t>932.702684904335</t>
  </si>
  <si>
    <t>5419.60185821314</t>
  </si>
  <si>
    <t>541.9473876953125</t>
  </si>
  <si>
    <t>591.9473876953125</t>
  </si>
  <si>
    <t>463.2218475341797</t>
  </si>
  <si>
    <t>240.96487426757812</t>
  </si>
  <si>
    <t>1419.6705723568125</t>
  </si>
  <si>
    <t>1239.0171770830411</t>
  </si>
  <si>
    <t>1356.3816307166674</t>
  </si>
  <si>
    <t>6009.38297162029</t>
  </si>
  <si>
    <t>521.7992553710938</t>
  </si>
  <si>
    <t>571.7992553710938</t>
  </si>
  <si>
    <t>443.07371520996094</t>
  </si>
  <si>
    <t>105.57000732421875</t>
  </si>
  <si>
    <t>1403.9025584617802</t>
  </si>
  <si>
    <t>1203.5897927411038</t>
  </si>
  <si>
    <t>1295.030413163467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</si>
</sst>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0"/>
  </numFmts>
  <fonts count="9">
    <font>
      <sz val="11"/>
      <name val="Carlito"/>
      <charset val="134"/>
    </font>
    <font>
      <sz val="11"/>
      <name val="Times New Roman"/>
      <family val="1"/>
    </font>
    <font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b/>
      <sz val="14"/>
      <color rgb="FFFFFFFF"/>
      <name val="Carlito"/>
      <charset val="134"/>
    </font>
    <font>
      <b/>
      <sz val="11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7" fillId="0" borderId="0"/>
  </cellStyleXfs>
  <cellXfs count="22">
    <xf numFmtId="0" fontId="0" fillId="0" borderId="0" xfId="0" applyAlignment="1"/>
    <xf numFmtId="0" fontId="1" fillId="0" borderId="0" xfId="1" applyFont="1" applyAlignment="1">
      <alignment horizontal="center" wrapText="1"/>
    </xf>
    <xf numFmtId="0" fontId="2" fillId="0" borderId="0" xfId="1" applyFont="1" applyAlignment="1">
      <alignment horizontal="center" wrapText="1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 wrapText="1"/>
    </xf>
    <xf numFmtId="0" fontId="1" fillId="0" borderId="0" xfId="1" applyFont="1" applyAlignment="1">
      <alignment horizontal="center"/>
    </xf>
    <xf numFmtId="0" fontId="1" fillId="0" borderId="0" xfId="1" applyFont="1"/>
    <xf numFmtId="0" fontId="1" fillId="0" borderId="0" xfId="1" applyFont="1" applyAlignment="1">
      <alignment wrapText="1"/>
    </xf>
    <xf numFmtId="0" fontId="5" fillId="3" borderId="0" xfId="0" applyFont="1" applyFill="1" applyAlignment="1"/>
    <xf numFmtId="0" fontId="0" fillId="0" borderId="0" xfId="0" applyAlignment="1">
      <alignment vertical="top" wrapText="1"/>
    </xf>
    <xf numFmtId="0" fontId="1" fillId="0" borderId="0" xfId="1" applyFont="1" applyAlignment="1">
      <alignment vertical="top" wrapText="1"/>
    </xf>
    <xf numFmtId="176" fontId="1" fillId="0" borderId="0" xfId="1" applyNumberFormat="1" applyFont="1" applyAlignment="1">
      <alignment wrapText="1"/>
    </xf>
    <xf numFmtId="2" fontId="1" fillId="0" borderId="0" xfId="1" applyNumberFormat="1" applyFont="1" applyAlignment="1">
      <alignment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176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 applyAlignment="1">
      <alignment vertical="top" wrapText="1"/>
    </xf>
    <xf numFmtId="176" fontId="0" fillId="0" borderId="0" xfId="0" applyNumberFormat="1" applyAlignment="1">
      <alignment vertical="top" wrapText="1"/>
    </xf>
    <xf numFmtId="0" fontId="4" fillId="2" borderId="0" xfId="0" applyFont="1" applyFill="1" applyAlignment="1">
      <alignment horizontal="center"/>
    </xf>
    <xf numFmtId="0" fontId="0" fillId="0" borderId="0" xfId="0" applyAlignment="1"/>
    <xf numFmtId="176" fontId="1" fillId="0" borderId="0" xfId="1" applyNumberFormat="1" applyFont="1"/>
  </cellXfs>
  <cellStyles count="2">
    <cellStyle name="Normal" xfId="1" xr:uid="{00000000-0005-0000-0000-000031000000}"/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showGridLines="0" workbookViewId="0">
      <pane ySplit="2" topLeftCell="A3" activePane="bottomLeft" state="frozen"/>
      <selection pane="bottomLeft"/>
    </sheetView>
  </sheetViews>
  <sheetFormatPr defaultRowHeight="14.4"/>
  <cols>
    <col min="1" max="1" width="26" customWidth="1"/>
    <col min="2" max="2" width="110" customWidth="1"/>
  </cols>
  <sheetData>
    <row r="1" spans="1:2" ht="17.399999999999999">
      <c r="A1" s="19" t="s">
        <v>6</v>
      </c>
      <c r="B1" s="20"/>
    </row>
    <row r="3" spans="1:2">
      <c r="A3" s="8" t="s">
        <v>7</v>
      </c>
      <c r="B3" s="9" t="s">
        <v>8</v>
      </c>
    </row>
    <row r="4" spans="1:2">
      <c r="A4" s="8" t="s">
        <v>9</v>
      </c>
      <c r="B4" s="9" t="s">
        <v>10</v>
      </c>
    </row>
    <row r="5" spans="1:2">
      <c r="A5" s="8" t="s">
        <v>11</v>
      </c>
      <c r="B5" s="9" t="s">
        <v>12</v>
      </c>
    </row>
    <row r="6" spans="1:2">
      <c r="A6" s="8" t="s">
        <v>13</v>
      </c>
      <c r="B6" s="9" t="s">
        <v>14</v>
      </c>
    </row>
    <row r="7" spans="1:2" ht="28.8">
      <c r="A7" s="8" t="s">
        <v>15</v>
      </c>
      <c r="B7" s="9" t="s">
        <v>16</v>
      </c>
    </row>
    <row r="8" spans="1:2">
      <c r="A8" s="8" t="s">
        <v>17</v>
      </c>
      <c r="B8" s="9" t="s">
        <v>18</v>
      </c>
    </row>
    <row r="9" spans="1:2">
      <c r="A9" s="8" t="s">
        <v>19</v>
      </c>
      <c r="B9" s="9" t="s">
        <v>20</v>
      </c>
    </row>
    <row r="10" spans="1:2">
      <c r="A10" s="8" t="s">
        <v>21</v>
      </c>
      <c r="B10" s="9" t="s">
        <v>22</v>
      </c>
    </row>
  </sheetData>
  <mergeCells count="1">
    <mergeCell ref="A1:B1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showGridLines="0" tabSelected="1" workbookViewId="0">
      <pane ySplit="1" topLeftCell="A8" activePane="bottomLeft" state="frozen"/>
      <selection pane="bottomLeft" activeCell="G21" sqref="G21"/>
    </sheetView>
  </sheetViews>
  <sheetFormatPr defaultColWidth="9" defaultRowHeight="13.8"/>
  <cols>
    <col min="1" max="2" width="12" style="6" customWidth="1"/>
    <col min="3" max="3" width="10" style="6" customWidth="1"/>
    <col min="4" max="4" width="56" style="6" customWidth="1"/>
    <col min="5" max="7" width="14" style="6" customWidth="1"/>
    <col min="8" max="8" width="16" style="6" customWidth="1"/>
    <col min="9" max="9" width="14" style="6" customWidth="1"/>
    <col min="10" max="10" width="9" style="6" customWidth="1"/>
    <col min="11" max="16384" width="9" style="6"/>
  </cols>
  <sheetData>
    <row r="1" spans="1:9" s="5" customFormat="1" ht="27.6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</row>
    <row r="2" spans="1:9" ht="41.4">
      <c r="A2" s="7" t="s">
        <v>32</v>
      </c>
      <c r="B2" s="7" t="s">
        <v>33</v>
      </c>
      <c r="C2" s="7" t="s">
        <v>34</v>
      </c>
      <c r="D2" s="10" t="s">
        <v>35</v>
      </c>
      <c r="E2" s="11">
        <v>76</v>
      </c>
      <c r="F2" s="11">
        <v>0.23100000000000001</v>
      </c>
      <c r="G2" s="11">
        <v>617.28086291265549</v>
      </c>
      <c r="H2" s="11">
        <v>2.9169909695678111</v>
      </c>
      <c r="I2" s="12">
        <v>63.537612880402357</v>
      </c>
    </row>
    <row r="3" spans="1:9" ht="27.6">
      <c r="A3" s="7" t="s">
        <v>36</v>
      </c>
      <c r="B3" s="7" t="s">
        <v>33</v>
      </c>
      <c r="C3" s="7" t="s">
        <v>34</v>
      </c>
      <c r="D3" s="10" t="s">
        <v>37</v>
      </c>
      <c r="E3" s="11">
        <v>78</v>
      </c>
      <c r="F3" s="11">
        <v>0.16300000000000001</v>
      </c>
      <c r="G3" s="11">
        <v>617.28086291265549</v>
      </c>
      <c r="H3" s="11">
        <v>2.9951697888615558</v>
      </c>
      <c r="I3" s="12">
        <v>62.560377639230538</v>
      </c>
    </row>
    <row r="4" spans="1:9" ht="27.6">
      <c r="A4" s="7" t="s">
        <v>38</v>
      </c>
      <c r="B4" s="7" t="s">
        <v>39</v>
      </c>
      <c r="C4" s="7" t="s">
        <v>34</v>
      </c>
      <c r="D4" s="10" t="s">
        <v>40</v>
      </c>
      <c r="E4" s="11">
        <v>39</v>
      </c>
      <c r="F4" s="11">
        <v>0.13</v>
      </c>
      <c r="G4" s="11">
        <v>1231.5245869636981</v>
      </c>
      <c r="H4" s="11">
        <v>5.1706544664454572</v>
      </c>
      <c r="I4" s="12">
        <v>35.366819169431793</v>
      </c>
    </row>
    <row r="5" spans="1:9">
      <c r="A5" s="7" t="s">
        <v>41</v>
      </c>
      <c r="B5" s="7" t="s">
        <v>39</v>
      </c>
      <c r="C5" s="7" t="s">
        <v>34</v>
      </c>
      <c r="D5" s="10" t="s">
        <v>42</v>
      </c>
      <c r="E5" s="11">
        <v>42</v>
      </c>
      <c r="F5" s="11">
        <v>8.1000000000000003E-2</v>
      </c>
      <c r="G5" s="11">
        <v>1231.5245869636981</v>
      </c>
      <c r="H5" s="11">
        <v>5.2483683725842436</v>
      </c>
      <c r="I5" s="12">
        <v>34.395395342696958</v>
      </c>
    </row>
    <row r="6" spans="1:9">
      <c r="A6" s="7" t="s">
        <v>43</v>
      </c>
      <c r="B6" s="7" t="s">
        <v>44</v>
      </c>
      <c r="C6" s="7" t="s">
        <v>34</v>
      </c>
      <c r="D6" s="10" t="s">
        <v>45</v>
      </c>
      <c r="E6" s="11">
        <v>42</v>
      </c>
      <c r="F6" s="11">
        <v>0.11700000000000001</v>
      </c>
      <c r="G6" s="11">
        <v>1559.1587504225399</v>
      </c>
      <c r="H6" s="11">
        <v>5.2877266271786869</v>
      </c>
      <c r="I6" s="12">
        <v>33.903417160266407</v>
      </c>
    </row>
    <row r="7" spans="1:9">
      <c r="A7" s="7" t="s">
        <v>46</v>
      </c>
      <c r="B7" s="7" t="s">
        <v>44</v>
      </c>
      <c r="C7" s="7" t="s">
        <v>34</v>
      </c>
      <c r="D7" s="10" t="s">
        <v>47</v>
      </c>
      <c r="E7" s="11">
        <v>39</v>
      </c>
      <c r="F7" s="11">
        <v>9.4E-2</v>
      </c>
      <c r="G7" s="11">
        <v>1559.1587504225399</v>
      </c>
      <c r="H7" s="11">
        <v>5.208655196812952</v>
      </c>
      <c r="I7" s="12">
        <v>34.891810039838099</v>
      </c>
    </row>
    <row r="8" spans="1:9" ht="27.6">
      <c r="A8" s="7" t="s">
        <v>48</v>
      </c>
      <c r="B8" s="7" t="s">
        <v>49</v>
      </c>
      <c r="C8" s="7" t="s">
        <v>34</v>
      </c>
      <c r="D8" s="10" t="s">
        <v>50</v>
      </c>
      <c r="E8" s="11">
        <v>59</v>
      </c>
      <c r="F8" s="11">
        <v>0.156</v>
      </c>
      <c r="G8" s="11">
        <v>1426.999528481736</v>
      </c>
      <c r="H8" s="11">
        <v>6.1532135676399644</v>
      </c>
      <c r="I8" s="12">
        <v>23.08483040450044</v>
      </c>
    </row>
    <row r="9" spans="1:9" ht="27.6">
      <c r="A9" s="7" t="s">
        <v>51</v>
      </c>
      <c r="B9" s="7" t="s">
        <v>52</v>
      </c>
      <c r="C9" s="7" t="s">
        <v>34</v>
      </c>
      <c r="D9" s="10" t="s">
        <v>53</v>
      </c>
      <c r="E9" s="11">
        <v>59</v>
      </c>
      <c r="F9" s="11">
        <v>0.156</v>
      </c>
      <c r="G9" s="11">
        <v>996.6319426776364</v>
      </c>
      <c r="H9" s="11">
        <v>4.2205794370942664</v>
      </c>
      <c r="I9" s="12">
        <v>47.242757036321677</v>
      </c>
    </row>
    <row r="10" spans="1:9" ht="27.6">
      <c r="A10" s="7" t="s">
        <v>54</v>
      </c>
      <c r="B10" s="7" t="s">
        <v>55</v>
      </c>
      <c r="C10" s="7" t="s">
        <v>34</v>
      </c>
      <c r="D10" s="10" t="s">
        <v>56</v>
      </c>
      <c r="E10" s="11">
        <v>59</v>
      </c>
      <c r="F10" s="11">
        <v>0.156</v>
      </c>
      <c r="G10" s="11">
        <v>693.33637681176219</v>
      </c>
      <c r="H10" s="11">
        <v>2.6000014531936189</v>
      </c>
      <c r="I10" s="12">
        <v>67.499981835079765</v>
      </c>
    </row>
    <row r="11" spans="1:9" ht="27.6">
      <c r="A11" s="7" t="s">
        <v>57</v>
      </c>
      <c r="B11" s="7" t="s">
        <v>58</v>
      </c>
      <c r="C11" s="7" t="s">
        <v>34</v>
      </c>
      <c r="D11" s="10" t="s">
        <v>59</v>
      </c>
      <c r="E11" s="11">
        <v>45</v>
      </c>
      <c r="F11" s="11">
        <v>0.129</v>
      </c>
      <c r="G11" s="11">
        <v>1082.2367695248579</v>
      </c>
      <c r="H11" s="11">
        <v>3.4044165319312358</v>
      </c>
      <c r="I11" s="12">
        <v>57.444793350859548</v>
      </c>
    </row>
    <row r="12" spans="1:9" ht="27.6">
      <c r="A12" s="7" t="s">
        <v>60</v>
      </c>
      <c r="B12" s="7" t="s">
        <v>61</v>
      </c>
      <c r="C12" s="7" t="s">
        <v>34</v>
      </c>
      <c r="D12" s="10" t="s">
        <v>62</v>
      </c>
      <c r="E12" s="11">
        <v>45</v>
      </c>
      <c r="F12" s="11">
        <v>0.129</v>
      </c>
      <c r="G12" s="11">
        <v>1382.1279608271609</v>
      </c>
      <c r="H12" s="11">
        <v>5.8335661065210473</v>
      </c>
      <c r="I12" s="12">
        <v>27.080423668486912</v>
      </c>
    </row>
    <row r="13" spans="1:9">
      <c r="A13" s="7" t="s">
        <v>63</v>
      </c>
      <c r="B13" s="7" t="s">
        <v>64</v>
      </c>
      <c r="C13" s="7" t="s">
        <v>65</v>
      </c>
      <c r="D13" s="10" t="s">
        <v>66</v>
      </c>
      <c r="E13" s="11">
        <v>25</v>
      </c>
      <c r="F13" s="11">
        <v>6.7000000000000004E-2</v>
      </c>
      <c r="G13" s="11">
        <v>935.43580576128716</v>
      </c>
      <c r="H13" s="11">
        <v>2.098457625430791</v>
      </c>
      <c r="I13" s="12">
        <v>47.538559364230217</v>
      </c>
    </row>
    <row r="14" spans="1:9">
      <c r="A14" s="7" t="s">
        <v>67</v>
      </c>
      <c r="B14" s="7" t="s">
        <v>68</v>
      </c>
      <c r="C14" s="7" t="s">
        <v>65</v>
      </c>
      <c r="D14" s="10" t="s">
        <v>69</v>
      </c>
      <c r="E14" s="11">
        <v>25</v>
      </c>
      <c r="F14" s="11">
        <v>6.7000000000000004E-2</v>
      </c>
      <c r="G14" s="11">
        <v>924.64094868431994</v>
      </c>
      <c r="H14" s="11">
        <v>1.8228081229609709</v>
      </c>
      <c r="I14" s="12">
        <v>54.429796925975737</v>
      </c>
    </row>
    <row r="15" spans="1:9">
      <c r="A15" s="7" t="s">
        <v>70</v>
      </c>
      <c r="B15" s="7" t="s">
        <v>71</v>
      </c>
      <c r="C15" s="7" t="s">
        <v>65</v>
      </c>
      <c r="D15" s="10" t="s">
        <v>72</v>
      </c>
      <c r="E15" s="11">
        <v>25</v>
      </c>
      <c r="F15" s="11">
        <v>6.7000000000000004E-2</v>
      </c>
      <c r="G15" s="11">
        <v>557.69164614466217</v>
      </c>
      <c r="H15" s="11">
        <v>1.073393480333487</v>
      </c>
      <c r="I15" s="12">
        <v>73.165162991662825</v>
      </c>
    </row>
    <row r="16" spans="1:9">
      <c r="A16" s="7" t="s">
        <v>73</v>
      </c>
      <c r="B16" s="7" t="s">
        <v>74</v>
      </c>
      <c r="C16" s="7" t="s">
        <v>65</v>
      </c>
      <c r="D16" s="10" t="s">
        <v>75</v>
      </c>
      <c r="E16" s="11">
        <v>25</v>
      </c>
      <c r="F16" s="11">
        <v>6.7000000000000004E-2</v>
      </c>
      <c r="G16" s="11">
        <v>1289.4105635534299</v>
      </c>
      <c r="H16" s="11">
        <v>2.751156218826162</v>
      </c>
      <c r="I16" s="12">
        <v>31.221094529345962</v>
      </c>
    </row>
    <row r="17" spans="1:9">
      <c r="A17" s="7" t="s">
        <v>76</v>
      </c>
      <c r="B17" s="7" t="s">
        <v>77</v>
      </c>
      <c r="C17" s="7" t="s">
        <v>65</v>
      </c>
      <c r="D17" s="10" t="s">
        <v>78</v>
      </c>
      <c r="E17" s="11">
        <v>25</v>
      </c>
      <c r="F17" s="11">
        <v>6.7000000000000004E-2</v>
      </c>
      <c r="G17" s="11">
        <v>879.71434516231034</v>
      </c>
      <c r="H17" s="11">
        <v>1.8243725151949719</v>
      </c>
      <c r="I17" s="12">
        <v>54.390687120125698</v>
      </c>
    </row>
    <row r="18" spans="1:9">
      <c r="A18" s="7" t="s">
        <v>79</v>
      </c>
      <c r="B18" s="7" t="s">
        <v>80</v>
      </c>
      <c r="C18" s="7" t="s">
        <v>65</v>
      </c>
      <c r="D18" s="10" t="s">
        <v>81</v>
      </c>
      <c r="E18" s="11">
        <v>25</v>
      </c>
      <c r="F18" s="11">
        <v>6.7000000000000004E-2</v>
      </c>
      <c r="G18" s="11">
        <v>1239.0171770830409</v>
      </c>
      <c r="H18" s="11">
        <v>2.1399693345056039</v>
      </c>
      <c r="I18" s="12">
        <v>46.500766637359902</v>
      </c>
    </row>
    <row r="19" spans="1:9">
      <c r="A19" s="7" t="s">
        <v>82</v>
      </c>
      <c r="B19" s="7" t="s">
        <v>83</v>
      </c>
      <c r="C19" s="7" t="s">
        <v>65</v>
      </c>
      <c r="D19" s="10" t="s">
        <v>84</v>
      </c>
      <c r="E19" s="11">
        <v>25</v>
      </c>
      <c r="F19" s="11">
        <v>6.7000000000000004E-2</v>
      </c>
      <c r="G19" s="11">
        <v>1203.589792741104</v>
      </c>
      <c r="H19" s="11">
        <v>2.309077755217892</v>
      </c>
      <c r="I19" s="12">
        <v>42.273056119552699</v>
      </c>
    </row>
    <row r="20" spans="1:9">
      <c r="G20" s="21">
        <f>SUM(G2:G19)/60/60</f>
        <v>5.3963225716808605</v>
      </c>
      <c r="H20" s="21">
        <f>SUM(H2:H19)</f>
        <v>63.058577570300706</v>
      </c>
    </row>
  </sheetData>
  <autoFilter ref="A1:I19" xr:uid="{00000000-0009-0000-0000-000001000000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"/>
  <sheetViews>
    <sheetView workbookViewId="0">
      <selection activeCell="F5" sqref="F5"/>
    </sheetView>
  </sheetViews>
  <sheetFormatPr defaultColWidth="9" defaultRowHeight="13.8"/>
  <cols>
    <col min="1" max="2" width="12" style="3" customWidth="1"/>
    <col min="3" max="3" width="10" style="3" customWidth="1"/>
    <col min="4" max="4" width="12" style="3" customWidth="1"/>
    <col min="5" max="5" width="16" style="3" customWidth="1"/>
    <col min="6" max="6" width="30" style="3" customWidth="1"/>
    <col min="7" max="7" width="18" style="3" customWidth="1"/>
    <col min="8" max="8" width="16" style="3" customWidth="1"/>
    <col min="9" max="9" width="9" style="3" customWidth="1"/>
    <col min="10" max="16384" width="9" style="3"/>
  </cols>
  <sheetData>
    <row r="1" spans="1:8" ht="14.4">
      <c r="A1" s="2" t="s">
        <v>23</v>
      </c>
      <c r="B1" s="2" t="s">
        <v>85</v>
      </c>
      <c r="C1" s="2" t="s">
        <v>25</v>
      </c>
      <c r="D1" s="2" t="s">
        <v>86</v>
      </c>
      <c r="E1" s="2" t="s">
        <v>2</v>
      </c>
      <c r="F1" s="2" t="s">
        <v>87</v>
      </c>
      <c r="G1" s="2" t="s">
        <v>88</v>
      </c>
      <c r="H1" s="2" t="s">
        <v>30</v>
      </c>
    </row>
    <row r="2" spans="1:8">
      <c r="A2" s="4"/>
      <c r="B2" s="4"/>
      <c r="C2" s="4"/>
      <c r="D2" s="4"/>
      <c r="E2" s="4"/>
      <c r="F2" s="4"/>
      <c r="G2" s="4"/>
      <c r="H2" s="4"/>
    </row>
    <row r="3" spans="1:8">
      <c r="A3" s="4"/>
      <c r="B3" s="4"/>
      <c r="C3" s="4"/>
      <c r="D3" s="4"/>
      <c r="E3" s="4"/>
      <c r="F3" s="4"/>
      <c r="G3" s="4"/>
      <c r="H3" s="4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sqref="A1:XFD1048576"/>
    </sheetView>
  </sheetViews>
  <sheetFormatPr defaultColWidth="9" defaultRowHeight="13.8"/>
  <cols>
    <col min="1" max="1" width="20" style="3" customWidth="1"/>
    <col min="2" max="3" width="12" style="3" customWidth="1"/>
    <col min="4" max="4" width="20" style="3" customWidth="1"/>
    <col min="5" max="5" width="9" style="3" customWidth="1"/>
    <col min="6" max="16384" width="9" style="3"/>
  </cols>
  <sheetData>
    <row r="1" spans="1:4" ht="14.4">
      <c r="A1" s="2" t="s">
        <v>89</v>
      </c>
      <c r="B1" s="2" t="s">
        <v>23</v>
      </c>
      <c r="C1" s="2" t="s">
        <v>24</v>
      </c>
      <c r="D1" s="2" t="s">
        <v>90</v>
      </c>
    </row>
    <row r="2" spans="1:4">
      <c r="A2" s="4"/>
      <c r="B2" s="4"/>
      <c r="C2" s="4"/>
      <c r="D2" s="4"/>
    </row>
    <row r="3" spans="1:4">
      <c r="A3" s="4"/>
      <c r="B3" s="4"/>
      <c r="C3" s="4"/>
      <c r="D3" s="4"/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9"/>
  <sheetViews>
    <sheetView workbookViewId="0">
      <selection sqref="A1:N29"/>
    </sheetView>
  </sheetViews>
  <sheetFormatPr defaultColWidth="9" defaultRowHeight="14.4"/>
  <cols>
    <col min="1" max="1" width="14" customWidth="1"/>
    <col min="2" max="2" width="16" customWidth="1"/>
    <col min="3" max="3" width="14" customWidth="1"/>
    <col min="4" max="7" width="16" customWidth="1"/>
    <col min="8" max="10" width="18" customWidth="1"/>
    <col min="11" max="11" width="16" customWidth="1"/>
  </cols>
  <sheetData>
    <row r="1" spans="1:14">
      <c r="A1" s="2" t="s">
        <v>5</v>
      </c>
      <c r="B1" s="2" t="s">
        <v>91</v>
      </c>
      <c r="C1" s="2" t="s">
        <v>92</v>
      </c>
      <c r="D1" s="2" t="s">
        <v>2</v>
      </c>
      <c r="E1" s="3" t="s">
        <v>93</v>
      </c>
      <c r="F1" s="3" t="s">
        <v>94</v>
      </c>
      <c r="G1" s="3" t="s">
        <v>95</v>
      </c>
      <c r="H1" s="3" t="s">
        <v>96</v>
      </c>
      <c r="I1" s="3" t="s">
        <v>97</v>
      </c>
      <c r="J1" s="3" t="s">
        <v>88</v>
      </c>
      <c r="K1" s="3" t="s">
        <v>30</v>
      </c>
      <c r="L1" s="3"/>
      <c r="M1" s="3"/>
      <c r="N1" s="3"/>
    </row>
    <row r="2" spans="1:14">
      <c r="A2" s="4"/>
      <c r="B2" s="4"/>
      <c r="C2" s="4"/>
      <c r="D2" s="4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>
      <c r="A3" s="4"/>
      <c r="B3" s="4"/>
      <c r="C3" s="4"/>
      <c r="D3" s="4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79"/>
  <sheetViews>
    <sheetView workbookViewId="0">
      <selection sqref="A1:W79"/>
    </sheetView>
  </sheetViews>
  <sheetFormatPr defaultColWidth="9" defaultRowHeight="14.4"/>
  <cols>
    <col min="1" max="2" width="14" customWidth="1"/>
    <col min="3" max="4" width="16" customWidth="1"/>
    <col min="5" max="5" width="14" customWidth="1"/>
    <col min="6" max="6" width="16" customWidth="1"/>
  </cols>
  <sheetData>
    <row r="1" spans="1:2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/>
      <c r="H1" s="3"/>
      <c r="I1" s="3"/>
      <c r="J1" s="3"/>
      <c r="K1" s="3"/>
      <c r="L1" s="3"/>
      <c r="M1" s="3"/>
      <c r="N1" s="3"/>
      <c r="O1" s="2"/>
      <c r="P1" s="2"/>
      <c r="Q1" s="2"/>
      <c r="R1" s="2"/>
      <c r="S1" s="3"/>
      <c r="T1" s="3"/>
      <c r="U1" s="3"/>
      <c r="V1" s="3"/>
      <c r="W1" s="3"/>
    </row>
    <row r="2" spans="1:23">
      <c r="A2" s="4"/>
      <c r="B2" s="4"/>
      <c r="C2" s="4"/>
      <c r="D2" s="4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4"/>
      <c r="Q2" s="4"/>
      <c r="R2" s="4"/>
      <c r="S2" s="3"/>
      <c r="T2" s="3"/>
      <c r="U2" s="3"/>
      <c r="V2" s="3"/>
      <c r="W2" s="3"/>
    </row>
    <row r="3" spans="1:23">
      <c r="A3" s="4"/>
      <c r="B3" s="4"/>
      <c r="C3" s="4"/>
      <c r="D3" s="4"/>
      <c r="E3" s="3"/>
      <c r="F3" s="3"/>
      <c r="G3" s="3"/>
      <c r="H3" s="3"/>
      <c r="I3" s="3"/>
      <c r="J3" s="3"/>
      <c r="K3" s="3"/>
      <c r="L3" s="3"/>
      <c r="M3" s="3"/>
      <c r="N3" s="3"/>
      <c r="O3" s="4"/>
      <c r="P3" s="4"/>
      <c r="Q3" s="4"/>
      <c r="R3" s="4"/>
      <c r="S3" s="3"/>
      <c r="T3" s="3"/>
      <c r="U3" s="3"/>
      <c r="V3" s="3"/>
      <c r="W3" s="3"/>
    </row>
    <row r="4" spans="1:2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>
      <c r="A30" s="2"/>
      <c r="B30" s="2"/>
      <c r="C30" s="2"/>
      <c r="D30" s="2"/>
      <c r="E30" s="3"/>
      <c r="F30" s="3"/>
      <c r="G30" s="3"/>
      <c r="H30" s="3"/>
      <c r="I30" s="3"/>
      <c r="J30" s="3"/>
      <c r="K30" s="3"/>
      <c r="L30" s="3"/>
      <c r="M30" s="3"/>
      <c r="N30" s="3"/>
      <c r="O30" s="2"/>
      <c r="P30" s="2"/>
      <c r="Q30" s="2"/>
      <c r="R30" s="2"/>
      <c r="S30" s="3"/>
      <c r="T30" s="3"/>
      <c r="U30" s="3"/>
      <c r="V30" s="3"/>
      <c r="W30" s="3"/>
    </row>
    <row r="31" spans="1:23">
      <c r="A31" s="4"/>
      <c r="B31" s="4"/>
      <c r="C31" s="4"/>
      <c r="D31" s="4"/>
      <c r="E31" s="3"/>
      <c r="F31" s="3"/>
      <c r="G31" s="3"/>
      <c r="H31" s="3"/>
      <c r="I31" s="3"/>
      <c r="J31" s="3"/>
      <c r="K31" s="3"/>
      <c r="L31" s="3"/>
      <c r="M31" s="3"/>
      <c r="N31" s="3"/>
      <c r="O31" s="4"/>
      <c r="P31" s="4"/>
      <c r="Q31" s="4"/>
      <c r="R31" s="4"/>
      <c r="S31" s="3"/>
      <c r="T31" s="3"/>
      <c r="U31" s="3"/>
      <c r="V31" s="3"/>
      <c r="W31" s="3"/>
    </row>
    <row r="32" spans="1:23">
      <c r="A32" s="4"/>
      <c r="B32" s="4"/>
      <c r="C32" s="4"/>
      <c r="D32" s="4"/>
      <c r="E32" s="3"/>
      <c r="F32" s="3"/>
      <c r="G32" s="3"/>
      <c r="H32" s="3"/>
      <c r="I32" s="3"/>
      <c r="J32" s="3"/>
      <c r="K32" s="3"/>
      <c r="L32" s="3"/>
      <c r="M32" s="3"/>
      <c r="N32" s="3"/>
      <c r="O32" s="4"/>
      <c r="P32" s="4"/>
      <c r="Q32" s="4"/>
      <c r="R32" s="4"/>
      <c r="S32" s="3"/>
      <c r="T32" s="3"/>
      <c r="U32" s="3"/>
      <c r="V32" s="3"/>
      <c r="W32" s="3"/>
    </row>
    <row r="33" spans="1:2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>
      <c r="A59" s="2"/>
      <c r="B59" s="2"/>
      <c r="C59" s="2"/>
      <c r="D59" s="2"/>
      <c r="E59" s="3"/>
      <c r="F59" s="3"/>
      <c r="G59" s="3"/>
      <c r="H59" s="3"/>
      <c r="I59" s="3"/>
      <c r="J59" s="3"/>
      <c r="K59" s="3"/>
      <c r="L59" s="3"/>
      <c r="M59" s="3"/>
      <c r="N59" s="3"/>
      <c r="O59" s="2"/>
      <c r="P59" s="2"/>
      <c r="Q59" s="2"/>
      <c r="R59" s="2"/>
      <c r="S59" s="3"/>
      <c r="T59" s="3"/>
      <c r="U59" s="3"/>
      <c r="V59" s="3"/>
      <c r="W59" s="3"/>
    </row>
    <row r="60" spans="1:23">
      <c r="A60" s="4"/>
      <c r="B60" s="4"/>
      <c r="C60" s="4"/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4"/>
      <c r="P60" s="4"/>
      <c r="Q60" s="4"/>
      <c r="R60" s="4"/>
      <c r="S60" s="3"/>
      <c r="T60" s="3"/>
      <c r="U60" s="3"/>
      <c r="V60" s="3"/>
      <c r="W60" s="3"/>
    </row>
    <row r="61" spans="1:23">
      <c r="A61" s="4"/>
      <c r="B61" s="4"/>
      <c r="C61" s="4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4"/>
      <c r="P61" s="4"/>
      <c r="Q61" s="4"/>
      <c r="R61" s="4"/>
      <c r="S61" s="3"/>
      <c r="T61" s="3"/>
      <c r="U61" s="3"/>
      <c r="V61" s="3"/>
      <c r="W61" s="3"/>
    </row>
    <row r="62" spans="1:2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8"/>
  <sheetViews>
    <sheetView workbookViewId="0">
      <selection sqref="A1:W79"/>
    </sheetView>
  </sheetViews>
  <sheetFormatPr defaultColWidth="9" defaultRowHeight="14.4"/>
  <cols>
    <col min="1" max="1" width="14.6640625" customWidth="1"/>
    <col min="2" max="2" width="12" customWidth="1"/>
    <col min="3" max="3" width="32" customWidth="1"/>
    <col min="4" max="6" width="18" customWidth="1"/>
    <col min="7" max="10" width="16" customWidth="1"/>
    <col min="11" max="11" width="18" customWidth="1"/>
  </cols>
  <sheetData>
    <row r="1" spans="1:16">
      <c r="A1" s="1" t="s">
        <v>98</v>
      </c>
      <c r="B1" s="2" t="s">
        <v>99</v>
      </c>
      <c r="C1" s="2" t="s">
        <v>100</v>
      </c>
      <c r="D1" s="2" t="s">
        <v>101</v>
      </c>
      <c r="E1" s="3" t="s">
        <v>102</v>
      </c>
      <c r="F1" s="3" t="s">
        <v>103</v>
      </c>
      <c r="G1" s="3" t="s">
        <v>104</v>
      </c>
      <c r="H1" s="3" t="s">
        <v>105</v>
      </c>
      <c r="I1" s="3" t="s">
        <v>106</v>
      </c>
      <c r="J1" s="3" t="s">
        <v>107</v>
      </c>
      <c r="K1" s="3" t="s">
        <v>108</v>
      </c>
      <c r="L1" s="3"/>
      <c r="M1" s="3"/>
      <c r="N1" s="3"/>
      <c r="O1" s="2"/>
      <c r="P1" s="2"/>
    </row>
    <row r="2" spans="1:16">
      <c r="A2" s="4"/>
      <c r="B2" s="4"/>
      <c r="C2" s="4"/>
      <c r="D2" s="4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4"/>
    </row>
    <row r="3" spans="1:16">
      <c r="A3" s="4"/>
      <c r="B3" s="4"/>
      <c r="C3" s="4"/>
      <c r="D3" s="4"/>
      <c r="E3" s="3"/>
      <c r="F3" s="3"/>
      <c r="G3" s="3"/>
      <c r="H3" s="3"/>
      <c r="I3" s="3"/>
      <c r="J3" s="3"/>
      <c r="K3" s="3"/>
      <c r="L3" s="3"/>
      <c r="M3" s="3"/>
      <c r="N3" s="3"/>
      <c r="O3" s="4"/>
      <c r="P3" s="4"/>
    </row>
    <row r="4" spans="1:16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1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1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1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1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1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16">
      <c r="A30" s="2"/>
      <c r="B30" s="2"/>
      <c r="C30" s="2"/>
      <c r="D30" s="2"/>
      <c r="E30" s="3"/>
      <c r="F30" s="3"/>
      <c r="G30" s="3"/>
      <c r="H30" s="3"/>
      <c r="I30" s="3"/>
      <c r="J30" s="3"/>
      <c r="K30" s="3"/>
      <c r="L30" s="3"/>
      <c r="M30" s="3"/>
      <c r="N30" s="3"/>
      <c r="O30" s="2"/>
      <c r="P30" s="2"/>
    </row>
    <row r="31" spans="1:16">
      <c r="A31" s="4"/>
      <c r="B31" s="4"/>
      <c r="C31" s="4"/>
      <c r="D31" s="4"/>
      <c r="E31" s="3"/>
      <c r="F31" s="3"/>
      <c r="G31" s="3"/>
      <c r="H31" s="3"/>
      <c r="I31" s="3"/>
      <c r="J31" s="3"/>
      <c r="K31" s="3"/>
      <c r="L31" s="3"/>
      <c r="M31" s="3"/>
      <c r="N31" s="3"/>
      <c r="O31" s="4"/>
      <c r="P31" s="4"/>
    </row>
    <row r="32" spans="1:16">
      <c r="A32" s="4"/>
      <c r="B32" s="4"/>
      <c r="C32" s="4"/>
      <c r="D32" s="4"/>
      <c r="E32" s="3"/>
      <c r="F32" s="3"/>
      <c r="G32" s="3"/>
      <c r="H32" s="3"/>
      <c r="I32" s="3"/>
      <c r="J32" s="3"/>
      <c r="K32" s="3"/>
      <c r="L32" s="3"/>
      <c r="M32" s="3"/>
      <c r="N32" s="3"/>
      <c r="O32" s="4"/>
      <c r="P32" s="4"/>
    </row>
    <row r="33" spans="1:1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1:1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spans="1:1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1:1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1:1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spans="1:1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1:1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9"/>
  <sheetViews>
    <sheetView showGridLines="0" workbookViewId="0">
      <pane ySplit="1" topLeftCell="A2" activePane="bottomLeft" state="frozen"/>
      <selection pane="bottomLeft"/>
    </sheetView>
  </sheetViews>
  <sheetFormatPr defaultRowHeight="14.4"/>
  <cols>
    <col min="1" max="1" width="8" customWidth="1"/>
    <col min="2" max="2" width="7" customWidth="1"/>
    <col min="3" max="3" width="6" customWidth="1"/>
    <col min="4" max="4" width="5" customWidth="1"/>
    <col min="5" max="5" width="52" customWidth="1"/>
    <col min="6" max="6" width="8" customWidth="1"/>
    <col min="7" max="9" width="20" customWidth="1"/>
    <col min="10" max="10" width="8" customWidth="1"/>
    <col min="11" max="11" width="11" customWidth="1"/>
    <col min="12" max="12" width="23" customWidth="1"/>
    <col min="13" max="16" width="20" customWidth="1"/>
    <col min="17" max="17" width="24" customWidth="1"/>
    <col min="18" max="18" width="20" customWidth="1"/>
    <col min="19" max="19" width="12" customWidth="1"/>
    <col min="20" max="22" width="20" customWidth="1"/>
  </cols>
  <sheetData>
    <row r="1" spans="1:22" ht="43.2">
      <c r="A1" s="13" t="s">
        <v>23</v>
      </c>
      <c r="B1" s="13" t="s">
        <v>24</v>
      </c>
      <c r="C1" s="13" t="s">
        <v>25</v>
      </c>
      <c r="D1" s="13" t="s">
        <v>109</v>
      </c>
      <c r="E1" s="13" t="s">
        <v>26</v>
      </c>
      <c r="F1" s="13" t="s">
        <v>110</v>
      </c>
      <c r="G1" s="13" t="s">
        <v>111</v>
      </c>
      <c r="H1" s="13" t="s">
        <v>112</v>
      </c>
      <c r="I1" s="13" t="s">
        <v>113</v>
      </c>
      <c r="J1" s="13" t="s">
        <v>114</v>
      </c>
      <c r="K1" s="13" t="s">
        <v>115</v>
      </c>
      <c r="L1" s="13" t="s">
        <v>116</v>
      </c>
      <c r="M1" s="13" t="s">
        <v>117</v>
      </c>
      <c r="N1" s="13" t="s">
        <v>118</v>
      </c>
      <c r="O1" s="13" t="s">
        <v>119</v>
      </c>
      <c r="P1" s="13" t="s">
        <v>120</v>
      </c>
      <c r="Q1" s="13" t="s">
        <v>121</v>
      </c>
      <c r="R1" s="13" t="s">
        <v>122</v>
      </c>
      <c r="S1" s="13" t="s">
        <v>123</v>
      </c>
      <c r="T1" s="13" t="s">
        <v>124</v>
      </c>
      <c r="U1" s="13" t="s">
        <v>125</v>
      </c>
      <c r="V1" s="13" t="s">
        <v>126</v>
      </c>
    </row>
    <row r="2" spans="1:22" ht="43.2">
      <c r="A2" s="14" t="s">
        <v>32</v>
      </c>
      <c r="B2" s="14" t="s">
        <v>33</v>
      </c>
      <c r="C2" s="14" t="s">
        <v>34</v>
      </c>
      <c r="D2" s="9">
        <v>9</v>
      </c>
      <c r="E2" s="9" t="s">
        <v>35</v>
      </c>
      <c r="F2" s="15">
        <v>76</v>
      </c>
      <c r="G2" s="15">
        <v>80</v>
      </c>
      <c r="H2" s="15">
        <v>4</v>
      </c>
      <c r="I2" s="16">
        <v>95</v>
      </c>
      <c r="J2" s="15">
        <v>0.23100000000000001</v>
      </c>
      <c r="K2" s="15">
        <v>0.25</v>
      </c>
      <c r="L2" s="15">
        <v>1.8999999999999989E-2</v>
      </c>
      <c r="M2" s="16">
        <v>92.4</v>
      </c>
      <c r="N2" s="15">
        <v>3053.9788435185001</v>
      </c>
      <c r="O2" s="15">
        <v>6107.9576870369992</v>
      </c>
      <c r="P2" s="15">
        <v>12000</v>
      </c>
      <c r="Q2" s="15">
        <v>5892.0423129630008</v>
      </c>
      <c r="R2" s="15">
        <v>2.9169909695678111</v>
      </c>
      <c r="S2" s="15">
        <v>6.4</v>
      </c>
      <c r="T2" s="16">
        <v>45.577983899497042</v>
      </c>
      <c r="U2" s="15">
        <v>617.28086291265549</v>
      </c>
      <c r="V2" s="16">
        <v>63.537612880402357</v>
      </c>
    </row>
    <row r="3" spans="1:22" ht="28.8">
      <c r="A3" s="14" t="s">
        <v>36</v>
      </c>
      <c r="B3" s="14" t="s">
        <v>33</v>
      </c>
      <c r="C3" s="14" t="s">
        <v>34</v>
      </c>
      <c r="D3" s="9">
        <v>6</v>
      </c>
      <c r="E3" s="9" t="s">
        <v>37</v>
      </c>
      <c r="F3" s="15">
        <v>78</v>
      </c>
      <c r="G3" s="15">
        <v>80</v>
      </c>
      <c r="H3" s="15">
        <v>2</v>
      </c>
      <c r="I3" s="16">
        <v>97.5</v>
      </c>
      <c r="J3" s="15">
        <v>0.16300000000000001</v>
      </c>
      <c r="K3" s="15">
        <v>0.25</v>
      </c>
      <c r="L3" s="15">
        <v>8.6999999999999994E-2</v>
      </c>
      <c r="M3" s="16">
        <v>65.2</v>
      </c>
      <c r="N3" s="15">
        <v>3053.9788435185001</v>
      </c>
      <c r="O3" s="15">
        <v>6107.9576870369992</v>
      </c>
      <c r="P3" s="15">
        <v>12000</v>
      </c>
      <c r="Q3" s="15">
        <v>5892.0423129630008</v>
      </c>
      <c r="R3" s="15">
        <v>2.9951697888615558</v>
      </c>
      <c r="S3" s="15">
        <v>6.4</v>
      </c>
      <c r="T3" s="16">
        <v>46.79952795096181</v>
      </c>
      <c r="U3" s="15">
        <v>617.28086291265549</v>
      </c>
      <c r="V3" s="16">
        <v>62.560377639230538</v>
      </c>
    </row>
    <row r="4" spans="1:22" ht="28.8">
      <c r="A4" s="14" t="s">
        <v>38</v>
      </c>
      <c r="B4" s="14" t="s">
        <v>39</v>
      </c>
      <c r="C4" s="14" t="s">
        <v>34</v>
      </c>
      <c r="D4" s="9">
        <v>5</v>
      </c>
      <c r="E4" s="9" t="s">
        <v>40</v>
      </c>
      <c r="F4" s="15">
        <v>39</v>
      </c>
      <c r="G4" s="15">
        <v>68.849049712201946</v>
      </c>
      <c r="H4" s="15">
        <v>29.84904971220195</v>
      </c>
      <c r="I4" s="16">
        <v>56.645662014254533</v>
      </c>
      <c r="J4" s="15">
        <v>0.13</v>
      </c>
      <c r="K4" s="15">
        <v>0.25</v>
      </c>
      <c r="L4" s="15">
        <v>0.12</v>
      </c>
      <c r="M4" s="16">
        <v>52</v>
      </c>
      <c r="N4" s="15">
        <v>7411.3104550841826</v>
      </c>
      <c r="O4" s="15">
        <v>14822.620910168371</v>
      </c>
      <c r="P4" s="15">
        <v>14822.62091016737</v>
      </c>
      <c r="Q4" s="15">
        <v>-9.9680619314312935E-10</v>
      </c>
      <c r="R4" s="15">
        <v>5.1706544664454572</v>
      </c>
      <c r="S4" s="15">
        <v>6.4</v>
      </c>
      <c r="T4" s="16">
        <v>80.791476038210277</v>
      </c>
      <c r="U4" s="15">
        <v>1231.5245869636981</v>
      </c>
      <c r="V4" s="16">
        <v>35.366819169431793</v>
      </c>
    </row>
    <row r="5" spans="1:22">
      <c r="A5" s="14" t="s">
        <v>41</v>
      </c>
      <c r="B5" s="14" t="s">
        <v>39</v>
      </c>
      <c r="C5" s="14" t="s">
        <v>34</v>
      </c>
      <c r="D5" s="9">
        <v>3</v>
      </c>
      <c r="E5" s="9" t="s">
        <v>42</v>
      </c>
      <c r="F5" s="15">
        <v>42</v>
      </c>
      <c r="G5" s="15">
        <v>68.849049712201946</v>
      </c>
      <c r="H5" s="15">
        <v>26.84904971220195</v>
      </c>
      <c r="I5" s="16">
        <v>61.003020630735662</v>
      </c>
      <c r="J5" s="15">
        <v>8.1000000000000003E-2</v>
      </c>
      <c r="K5" s="15">
        <v>0.25</v>
      </c>
      <c r="L5" s="15">
        <v>0.16900000000000001</v>
      </c>
      <c r="M5" s="16">
        <v>32.4</v>
      </c>
      <c r="N5" s="15">
        <v>7411.3104550841826</v>
      </c>
      <c r="O5" s="15">
        <v>14822.620910168371</v>
      </c>
      <c r="P5" s="15">
        <v>14822.62091016737</v>
      </c>
      <c r="Q5" s="15">
        <v>-9.9680619314312935E-10</v>
      </c>
      <c r="R5" s="15">
        <v>5.2483683725842436</v>
      </c>
      <c r="S5" s="15">
        <v>6.4</v>
      </c>
      <c r="T5" s="16">
        <v>82.005755821628796</v>
      </c>
      <c r="U5" s="15">
        <v>1231.5245869636981</v>
      </c>
      <c r="V5" s="16">
        <v>34.395395342696958</v>
      </c>
    </row>
    <row r="6" spans="1:22">
      <c r="A6" s="14" t="s">
        <v>43</v>
      </c>
      <c r="B6" s="14" t="s">
        <v>44</v>
      </c>
      <c r="C6" s="14" t="s">
        <v>34</v>
      </c>
      <c r="D6" s="9">
        <v>4</v>
      </c>
      <c r="E6" s="9" t="s">
        <v>45</v>
      </c>
      <c r="F6" s="15">
        <v>42</v>
      </c>
      <c r="G6" s="15">
        <v>68.216368244920162</v>
      </c>
      <c r="H6" s="15">
        <v>26.216368244920162</v>
      </c>
      <c r="I6" s="16">
        <v>61.568800979268779</v>
      </c>
      <c r="J6" s="15">
        <v>0.11700000000000001</v>
      </c>
      <c r="K6" s="15">
        <v>0.25</v>
      </c>
      <c r="L6" s="15">
        <v>0.13300000000000001</v>
      </c>
      <c r="M6" s="16">
        <v>46.8</v>
      </c>
      <c r="N6" s="15">
        <v>7263.1792565565001</v>
      </c>
      <c r="O6" s="15">
        <v>14526.358513113</v>
      </c>
      <c r="P6" s="15">
        <v>14976.33652671966</v>
      </c>
      <c r="Q6" s="15">
        <v>449.97801360665648</v>
      </c>
      <c r="R6" s="15">
        <v>5.2877266271786869</v>
      </c>
      <c r="S6" s="15">
        <v>6.4</v>
      </c>
      <c r="T6" s="16">
        <v>82.620728549666978</v>
      </c>
      <c r="U6" s="15">
        <v>1559.1587504225399</v>
      </c>
      <c r="V6" s="16">
        <v>33.903417160266407</v>
      </c>
    </row>
    <row r="7" spans="1:22">
      <c r="A7" s="14" t="s">
        <v>46</v>
      </c>
      <c r="B7" s="14" t="s">
        <v>44</v>
      </c>
      <c r="C7" s="14" t="s">
        <v>34</v>
      </c>
      <c r="D7" s="9">
        <v>4</v>
      </c>
      <c r="E7" s="9" t="s">
        <v>47</v>
      </c>
      <c r="F7" s="15">
        <v>39</v>
      </c>
      <c r="G7" s="15">
        <v>68.216368244920162</v>
      </c>
      <c r="H7" s="15">
        <v>29.216368244920162</v>
      </c>
      <c r="I7" s="16">
        <v>57.171029480749581</v>
      </c>
      <c r="J7" s="15">
        <v>9.4E-2</v>
      </c>
      <c r="K7" s="15">
        <v>0.25</v>
      </c>
      <c r="L7" s="15">
        <v>0.156</v>
      </c>
      <c r="M7" s="16">
        <v>37.6</v>
      </c>
      <c r="N7" s="15">
        <v>7263.1792565565001</v>
      </c>
      <c r="O7" s="15">
        <v>14526.358513113</v>
      </c>
      <c r="P7" s="15">
        <v>14976.33652671966</v>
      </c>
      <c r="Q7" s="15">
        <v>449.97801360665648</v>
      </c>
      <c r="R7" s="15">
        <v>5.208655196812952</v>
      </c>
      <c r="S7" s="15">
        <v>6.4</v>
      </c>
      <c r="T7" s="16">
        <v>81.385237450202368</v>
      </c>
      <c r="U7" s="15">
        <v>1559.1587504225399</v>
      </c>
      <c r="V7" s="16">
        <v>34.891810039838099</v>
      </c>
    </row>
    <row r="8" spans="1:22" ht="28.8">
      <c r="A8" s="14" t="s">
        <v>48</v>
      </c>
      <c r="B8" s="14" t="s">
        <v>49</v>
      </c>
      <c r="C8" s="14" t="s">
        <v>34</v>
      </c>
      <c r="D8" s="9">
        <v>6</v>
      </c>
      <c r="E8" s="9" t="s">
        <v>50</v>
      </c>
      <c r="F8" s="15">
        <v>59</v>
      </c>
      <c r="G8" s="15">
        <v>63.692373288543543</v>
      </c>
      <c r="H8" s="15">
        <v>4.6923732885435356</v>
      </c>
      <c r="I8" s="16">
        <v>92.632754839757936</v>
      </c>
      <c r="J8" s="15">
        <v>0.156</v>
      </c>
      <c r="K8" s="15">
        <v>0.25</v>
      </c>
      <c r="L8" s="15">
        <v>9.4E-2</v>
      </c>
      <c r="M8" s="16">
        <v>62.4</v>
      </c>
      <c r="N8" s="15">
        <v>7714.6964491171684</v>
      </c>
      <c r="O8" s="15">
        <v>15429.39289823434</v>
      </c>
      <c r="P8" s="15">
        <v>16054.555393643839</v>
      </c>
      <c r="Q8" s="15">
        <v>625.16249540950776</v>
      </c>
      <c r="R8" s="15">
        <v>6.1532135676399644</v>
      </c>
      <c r="S8" s="15">
        <v>6.4</v>
      </c>
      <c r="T8" s="16">
        <v>96.143961994374436</v>
      </c>
      <c r="U8" s="15">
        <v>1426.999528481736</v>
      </c>
      <c r="V8" s="16">
        <v>23.08483040450044</v>
      </c>
    </row>
    <row r="9" spans="1:22" ht="28.8">
      <c r="A9" s="14" t="s">
        <v>51</v>
      </c>
      <c r="B9" s="14" t="s">
        <v>52</v>
      </c>
      <c r="C9" s="14" t="s">
        <v>34</v>
      </c>
      <c r="D9" s="9">
        <v>6</v>
      </c>
      <c r="E9" s="9" t="s">
        <v>53</v>
      </c>
      <c r="F9" s="15">
        <v>59</v>
      </c>
      <c r="G9" s="15">
        <v>80</v>
      </c>
      <c r="H9" s="15">
        <v>21</v>
      </c>
      <c r="I9" s="16">
        <v>73.75</v>
      </c>
      <c r="J9" s="15">
        <v>0.156</v>
      </c>
      <c r="K9" s="15">
        <v>0.25</v>
      </c>
      <c r="L9" s="15">
        <v>9.4E-2</v>
      </c>
      <c r="M9" s="16">
        <v>62.4</v>
      </c>
      <c r="N9" s="15">
        <v>5280.6069368730441</v>
      </c>
      <c r="O9" s="15">
        <v>10561.21387374609</v>
      </c>
      <c r="P9" s="15">
        <v>12000</v>
      </c>
      <c r="Q9" s="15">
        <v>1438.786126253912</v>
      </c>
      <c r="R9" s="15">
        <v>4.2205794370942664</v>
      </c>
      <c r="S9" s="15">
        <v>6.4</v>
      </c>
      <c r="T9" s="16">
        <v>65.946553704597903</v>
      </c>
      <c r="U9" s="15">
        <v>996.6319426776364</v>
      </c>
      <c r="V9" s="16">
        <v>47.242757036321677</v>
      </c>
    </row>
    <row r="10" spans="1:22" ht="28.8">
      <c r="A10" s="14" t="s">
        <v>54</v>
      </c>
      <c r="B10" s="14" t="s">
        <v>55</v>
      </c>
      <c r="C10" s="14" t="s">
        <v>34</v>
      </c>
      <c r="D10" s="9">
        <v>6</v>
      </c>
      <c r="E10" s="9" t="s">
        <v>56</v>
      </c>
      <c r="F10" s="15">
        <v>59</v>
      </c>
      <c r="G10" s="15">
        <v>80</v>
      </c>
      <c r="H10" s="15">
        <v>21</v>
      </c>
      <c r="I10" s="16">
        <v>73.75</v>
      </c>
      <c r="J10" s="15">
        <v>0.156</v>
      </c>
      <c r="K10" s="15">
        <v>0.25</v>
      </c>
      <c r="L10" s="15">
        <v>9.4E-2</v>
      </c>
      <c r="M10" s="16">
        <v>62.4</v>
      </c>
      <c r="N10" s="15">
        <v>3186.2081784136558</v>
      </c>
      <c r="O10" s="15">
        <v>6372.4163568273116</v>
      </c>
      <c r="P10" s="15">
        <v>12000</v>
      </c>
      <c r="Q10" s="15">
        <v>5627.5836431726884</v>
      </c>
      <c r="R10" s="15">
        <v>2.6000014531936189</v>
      </c>
      <c r="S10" s="15">
        <v>6.4</v>
      </c>
      <c r="T10" s="16">
        <v>40.625022706150297</v>
      </c>
      <c r="U10" s="15">
        <v>693.33637681176219</v>
      </c>
      <c r="V10" s="16">
        <v>67.499981835079765</v>
      </c>
    </row>
    <row r="11" spans="1:22" ht="28.8">
      <c r="A11" s="14" t="s">
        <v>57</v>
      </c>
      <c r="B11" s="14" t="s">
        <v>58</v>
      </c>
      <c r="C11" s="14" t="s">
        <v>34</v>
      </c>
      <c r="D11" s="9">
        <v>5</v>
      </c>
      <c r="E11" s="9" t="s">
        <v>59</v>
      </c>
      <c r="F11" s="15">
        <v>45</v>
      </c>
      <c r="G11" s="15">
        <v>80</v>
      </c>
      <c r="H11" s="15">
        <v>35</v>
      </c>
      <c r="I11" s="16">
        <v>56.25</v>
      </c>
      <c r="J11" s="15">
        <v>0.129</v>
      </c>
      <c r="K11" s="15">
        <v>0.25</v>
      </c>
      <c r="L11" s="15">
        <v>0.121</v>
      </c>
      <c r="M11" s="16">
        <v>51.6</v>
      </c>
      <c r="N11" s="15">
        <v>4534.4605668160739</v>
      </c>
      <c r="O11" s="15">
        <v>9068.9211336321478</v>
      </c>
      <c r="P11" s="15">
        <v>12000</v>
      </c>
      <c r="Q11" s="15">
        <v>2931.0788663678518</v>
      </c>
      <c r="R11" s="15">
        <v>3.4044165319312358</v>
      </c>
      <c r="S11" s="15">
        <v>6.4</v>
      </c>
      <c r="T11" s="16">
        <v>53.194008311425563</v>
      </c>
      <c r="U11" s="15">
        <v>1082.2367695248579</v>
      </c>
      <c r="V11" s="16">
        <v>57.444793350859548</v>
      </c>
    </row>
    <row r="12" spans="1:22" ht="28.8">
      <c r="A12" s="14" t="s">
        <v>60</v>
      </c>
      <c r="B12" s="14" t="s">
        <v>61</v>
      </c>
      <c r="C12" s="14" t="s">
        <v>34</v>
      </c>
      <c r="D12" s="9">
        <v>5</v>
      </c>
      <c r="E12" s="9" t="s">
        <v>62</v>
      </c>
      <c r="F12" s="15">
        <v>45</v>
      </c>
      <c r="G12" s="15">
        <v>58.954006636233522</v>
      </c>
      <c r="H12" s="15">
        <v>13.954006636233521</v>
      </c>
      <c r="I12" s="16">
        <v>76.330689918440086</v>
      </c>
      <c r="J12" s="15">
        <v>0.129</v>
      </c>
      <c r="K12" s="15">
        <v>0.25</v>
      </c>
      <c r="L12" s="15">
        <v>0.121</v>
      </c>
      <c r="M12" s="16">
        <v>51.6</v>
      </c>
      <c r="N12" s="15">
        <v>8079.033112423187</v>
      </c>
      <c r="O12" s="15">
        <v>16158.06622484637</v>
      </c>
      <c r="P12" s="15">
        <v>17143.481295619658</v>
      </c>
      <c r="Q12" s="15">
        <v>985.41507077328424</v>
      </c>
      <c r="R12" s="15">
        <v>5.8335661065210473</v>
      </c>
      <c r="S12" s="15">
        <v>6.4</v>
      </c>
      <c r="T12" s="16">
        <v>91.149470414391374</v>
      </c>
      <c r="U12" s="15">
        <v>1382.1279608271609</v>
      </c>
      <c r="V12" s="16">
        <v>27.080423668486912</v>
      </c>
    </row>
    <row r="13" spans="1:22">
      <c r="A13" s="14" t="s">
        <v>63</v>
      </c>
      <c r="B13" s="14" t="s">
        <v>64</v>
      </c>
      <c r="C13" s="14" t="s">
        <v>65</v>
      </c>
      <c r="D13" s="9">
        <v>3</v>
      </c>
      <c r="E13" s="9" t="s">
        <v>66</v>
      </c>
      <c r="F13" s="15">
        <v>25</v>
      </c>
      <c r="G13" s="15">
        <v>30</v>
      </c>
      <c r="H13" s="15">
        <v>5</v>
      </c>
      <c r="I13" s="16">
        <v>83.333333333333329</v>
      </c>
      <c r="J13" s="15">
        <v>6.7000000000000004E-2</v>
      </c>
      <c r="K13" s="15">
        <v>7.2999999999999995E-2</v>
      </c>
      <c r="L13" s="15">
        <v>5.9999999999999906E-3</v>
      </c>
      <c r="M13" s="16">
        <v>91.780821917808225</v>
      </c>
      <c r="N13" s="15">
        <v>5705.1449622770369</v>
      </c>
      <c r="O13" s="15">
        <v>11410.28992455407</v>
      </c>
      <c r="P13" s="15">
        <v>16000</v>
      </c>
      <c r="Q13" s="15">
        <v>4589.7100754459261</v>
      </c>
      <c r="R13" s="15">
        <v>2.098457625430791</v>
      </c>
      <c r="S13" s="15">
        <v>3.2</v>
      </c>
      <c r="T13" s="16">
        <v>65.576800794712213</v>
      </c>
      <c r="U13" s="15">
        <v>935.43580576128716</v>
      </c>
      <c r="V13" s="16">
        <v>47.538559364230217</v>
      </c>
    </row>
    <row r="14" spans="1:22">
      <c r="A14" s="14" t="s">
        <v>67</v>
      </c>
      <c r="B14" s="14" t="s">
        <v>68</v>
      </c>
      <c r="C14" s="14" t="s">
        <v>65</v>
      </c>
      <c r="D14" s="9">
        <v>3</v>
      </c>
      <c r="E14" s="9" t="s">
        <v>69</v>
      </c>
      <c r="F14" s="15">
        <v>25</v>
      </c>
      <c r="G14" s="15">
        <v>30</v>
      </c>
      <c r="H14" s="15">
        <v>5</v>
      </c>
      <c r="I14" s="16">
        <v>83.333333333333329</v>
      </c>
      <c r="J14" s="15">
        <v>6.7000000000000004E-2</v>
      </c>
      <c r="K14" s="15">
        <v>7.2999999999999995E-2</v>
      </c>
      <c r="L14" s="15">
        <v>5.9999999999999906E-3</v>
      </c>
      <c r="M14" s="16">
        <v>91.780821917808225</v>
      </c>
      <c r="N14" s="15">
        <v>4784.4948516436298</v>
      </c>
      <c r="O14" s="15">
        <v>9568.9897032872595</v>
      </c>
      <c r="P14" s="15">
        <v>16000</v>
      </c>
      <c r="Q14" s="15">
        <v>6431.0102967127395</v>
      </c>
      <c r="R14" s="15">
        <v>1.8228081229609709</v>
      </c>
      <c r="S14" s="15">
        <v>3.2</v>
      </c>
      <c r="T14" s="16">
        <v>56.962753842530333</v>
      </c>
      <c r="U14" s="15">
        <v>924.64094868431994</v>
      </c>
      <c r="V14" s="16">
        <v>54.429796925975737</v>
      </c>
    </row>
    <row r="15" spans="1:22">
      <c r="A15" s="14" t="s">
        <v>70</v>
      </c>
      <c r="B15" s="14" t="s">
        <v>71</v>
      </c>
      <c r="C15" s="14" t="s">
        <v>65</v>
      </c>
      <c r="D15" s="9">
        <v>3</v>
      </c>
      <c r="E15" s="9" t="s">
        <v>72</v>
      </c>
      <c r="F15" s="15">
        <v>25</v>
      </c>
      <c r="G15" s="15">
        <v>30</v>
      </c>
      <c r="H15" s="15">
        <v>5</v>
      </c>
      <c r="I15" s="16">
        <v>83.333333333333329</v>
      </c>
      <c r="J15" s="15">
        <v>6.7000000000000004E-2</v>
      </c>
      <c r="K15" s="15">
        <v>7.2999999999999995E-2</v>
      </c>
      <c r="L15" s="15">
        <v>5.9999999999999906E-3</v>
      </c>
      <c r="M15" s="16">
        <v>91.780821917808225</v>
      </c>
      <c r="N15" s="15">
        <v>2808.0742326816462</v>
      </c>
      <c r="O15" s="15">
        <v>5616.1484653632924</v>
      </c>
      <c r="P15" s="15">
        <v>16000</v>
      </c>
      <c r="Q15" s="15">
        <v>10383.851534636709</v>
      </c>
      <c r="R15" s="15">
        <v>1.073393480333487</v>
      </c>
      <c r="S15" s="15">
        <v>3.2</v>
      </c>
      <c r="T15" s="16">
        <v>33.543546260421458</v>
      </c>
      <c r="U15" s="15">
        <v>557.69164614466217</v>
      </c>
      <c r="V15" s="16">
        <v>73.165162991662825</v>
      </c>
    </row>
    <row r="16" spans="1:22">
      <c r="A16" s="14" t="s">
        <v>73</v>
      </c>
      <c r="B16" s="14" t="s">
        <v>74</v>
      </c>
      <c r="C16" s="14" t="s">
        <v>65</v>
      </c>
      <c r="D16" s="9">
        <v>3</v>
      </c>
      <c r="E16" s="9" t="s">
        <v>75</v>
      </c>
      <c r="F16" s="15">
        <v>25</v>
      </c>
      <c r="G16" s="15">
        <v>30</v>
      </c>
      <c r="H16" s="15">
        <v>5</v>
      </c>
      <c r="I16" s="16">
        <v>83.333333333333329</v>
      </c>
      <c r="J16" s="15">
        <v>6.7000000000000004E-2</v>
      </c>
      <c r="K16" s="15">
        <v>7.2999999999999995E-2</v>
      </c>
      <c r="L16" s="15">
        <v>5.9999999999999906E-3</v>
      </c>
      <c r="M16" s="16">
        <v>91.780821917808225</v>
      </c>
      <c r="N16" s="15">
        <v>7390.4916869778745</v>
      </c>
      <c r="O16" s="15">
        <v>14780.983373955751</v>
      </c>
      <c r="P16" s="15">
        <v>16000</v>
      </c>
      <c r="Q16" s="15">
        <v>1219.0166260442511</v>
      </c>
      <c r="R16" s="15">
        <v>2.751156218826162</v>
      </c>
      <c r="S16" s="15">
        <v>3.2</v>
      </c>
      <c r="T16" s="16">
        <v>85.973631838317544</v>
      </c>
      <c r="U16" s="15">
        <v>1289.4105635534299</v>
      </c>
      <c r="V16" s="16">
        <v>31.221094529345962</v>
      </c>
    </row>
    <row r="17" spans="1:22">
      <c r="A17" s="14" t="s">
        <v>76</v>
      </c>
      <c r="B17" s="14" t="s">
        <v>77</v>
      </c>
      <c r="C17" s="14" t="s">
        <v>65</v>
      </c>
      <c r="D17" s="9">
        <v>3</v>
      </c>
      <c r="E17" s="9" t="s">
        <v>78</v>
      </c>
      <c r="F17" s="15">
        <v>25</v>
      </c>
      <c r="G17" s="15">
        <v>30</v>
      </c>
      <c r="H17" s="15">
        <v>5</v>
      </c>
      <c r="I17" s="16">
        <v>83.333333333333329</v>
      </c>
      <c r="J17" s="15">
        <v>6.7000000000000004E-2</v>
      </c>
      <c r="K17" s="15">
        <v>7.2999999999999995E-2</v>
      </c>
      <c r="L17" s="15">
        <v>5.9999999999999906E-3</v>
      </c>
      <c r="M17" s="16">
        <v>91.780821917808225</v>
      </c>
      <c r="N17" s="15">
        <v>4849.242377230511</v>
      </c>
      <c r="O17" s="15">
        <v>9698.484754461022</v>
      </c>
      <c r="P17" s="15">
        <v>16000</v>
      </c>
      <c r="Q17" s="15">
        <v>6301.515245538978</v>
      </c>
      <c r="R17" s="15">
        <v>1.8243725151949719</v>
      </c>
      <c r="S17" s="15">
        <v>3.2</v>
      </c>
      <c r="T17" s="16">
        <v>57.011641099842869</v>
      </c>
      <c r="U17" s="15">
        <v>879.71434516231034</v>
      </c>
      <c r="V17" s="16">
        <v>54.390687120125698</v>
      </c>
    </row>
    <row r="18" spans="1:22">
      <c r="A18" s="14" t="s">
        <v>79</v>
      </c>
      <c r="B18" s="14" t="s">
        <v>80</v>
      </c>
      <c r="C18" s="14" t="s">
        <v>65</v>
      </c>
      <c r="D18" s="9">
        <v>3</v>
      </c>
      <c r="E18" s="9" t="s">
        <v>81</v>
      </c>
      <c r="F18" s="15">
        <v>25</v>
      </c>
      <c r="G18" s="15">
        <v>30</v>
      </c>
      <c r="H18" s="15">
        <v>5</v>
      </c>
      <c r="I18" s="16">
        <v>83.333333333333329</v>
      </c>
      <c r="J18" s="15">
        <v>6.7000000000000004E-2</v>
      </c>
      <c r="K18" s="15">
        <v>7.2999999999999995E-2</v>
      </c>
      <c r="L18" s="15">
        <v>5.9999999999999906E-3</v>
      </c>
      <c r="M18" s="16">
        <v>91.780821917808225</v>
      </c>
      <c r="N18" s="15">
        <v>5419.6018582131401</v>
      </c>
      <c r="O18" s="15">
        <v>10839.20371642628</v>
      </c>
      <c r="P18" s="15">
        <v>16000</v>
      </c>
      <c r="Q18" s="15">
        <v>5160.7962835737198</v>
      </c>
      <c r="R18" s="15">
        <v>2.1399693345056039</v>
      </c>
      <c r="S18" s="15">
        <v>3.2</v>
      </c>
      <c r="T18" s="16">
        <v>66.874041703300122</v>
      </c>
      <c r="U18" s="15">
        <v>1239.0171770830409</v>
      </c>
      <c r="V18" s="16">
        <v>46.500766637359902</v>
      </c>
    </row>
    <row r="19" spans="1:22">
      <c r="A19" s="14" t="s">
        <v>82</v>
      </c>
      <c r="B19" s="14" t="s">
        <v>83</v>
      </c>
      <c r="C19" s="14" t="s">
        <v>65</v>
      </c>
      <c r="D19" s="9">
        <v>3</v>
      </c>
      <c r="E19" s="9" t="s">
        <v>84</v>
      </c>
      <c r="F19" s="15">
        <v>25</v>
      </c>
      <c r="G19" s="15">
        <v>30</v>
      </c>
      <c r="H19" s="15">
        <v>5</v>
      </c>
      <c r="I19" s="16">
        <v>83.333333333333329</v>
      </c>
      <c r="J19" s="15">
        <v>6.7000000000000004E-2</v>
      </c>
      <c r="K19" s="15">
        <v>7.2999999999999995E-2</v>
      </c>
      <c r="L19" s="15">
        <v>5.9999999999999906E-3</v>
      </c>
      <c r="M19" s="16">
        <v>91.780821917808225</v>
      </c>
      <c r="N19" s="15">
        <v>6009.3829716202899</v>
      </c>
      <c r="O19" s="15">
        <v>12018.76594324058</v>
      </c>
      <c r="P19" s="15">
        <v>16000</v>
      </c>
      <c r="Q19" s="15">
        <v>3981.2340567594201</v>
      </c>
      <c r="R19" s="15">
        <v>2.309077755217892</v>
      </c>
      <c r="S19" s="15">
        <v>3.2</v>
      </c>
      <c r="T19" s="16">
        <v>72.158679850559125</v>
      </c>
      <c r="U19" s="15">
        <v>1203.589792741104</v>
      </c>
      <c r="V19" s="16">
        <v>42.273056119552699</v>
      </c>
    </row>
  </sheetData>
  <autoFilter ref="A1:V19" xr:uid="{00000000-0009-0000-0000-000007000000}"/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"/>
  <sheetViews>
    <sheetView showGridLines="0" workbookViewId="0">
      <pane ySplit="1" topLeftCell="A2" activePane="bottomLeft" state="frozen"/>
      <selection pane="bottomLeft"/>
    </sheetView>
  </sheetViews>
  <sheetFormatPr defaultRowHeight="14.4"/>
  <cols>
    <col min="1" max="1" width="21" customWidth="1"/>
    <col min="2" max="2" width="5" customWidth="1"/>
    <col min="3" max="3" width="8" customWidth="1"/>
    <col min="4" max="4" width="19" customWidth="1"/>
    <col min="5" max="5" width="20" customWidth="1"/>
    <col min="6" max="7" width="21" customWidth="1"/>
    <col min="8" max="8" width="20" customWidth="1"/>
    <col min="9" max="10" width="18" customWidth="1"/>
    <col min="11" max="11" width="8" customWidth="1"/>
    <col min="12" max="12" width="6" customWidth="1"/>
    <col min="13" max="13" width="35" customWidth="1"/>
  </cols>
  <sheetData>
    <row r="1" spans="1:13" ht="28.8">
      <c r="A1" s="13" t="s">
        <v>127</v>
      </c>
      <c r="B1" s="13" t="s">
        <v>128</v>
      </c>
      <c r="C1" s="13" t="s">
        <v>129</v>
      </c>
      <c r="D1" s="13" t="s">
        <v>130</v>
      </c>
      <c r="E1" s="13" t="s">
        <v>131</v>
      </c>
      <c r="F1" s="13" t="s">
        <v>132</v>
      </c>
      <c r="G1" s="13" t="s">
        <v>133</v>
      </c>
      <c r="H1" s="13" t="s">
        <v>134</v>
      </c>
      <c r="I1" s="13" t="s">
        <v>135</v>
      </c>
      <c r="J1" s="13" t="s">
        <v>136</v>
      </c>
      <c r="K1" s="13" t="s">
        <v>137</v>
      </c>
      <c r="L1" s="13" t="s">
        <v>138</v>
      </c>
      <c r="M1" s="13" t="s">
        <v>139</v>
      </c>
    </row>
    <row r="2" spans="1:13">
      <c r="A2" s="14" t="s">
        <v>140</v>
      </c>
      <c r="B2" s="14">
        <v>52</v>
      </c>
      <c r="C2" s="14">
        <v>0</v>
      </c>
      <c r="D2" s="17">
        <v>0</v>
      </c>
      <c r="E2" s="18">
        <v>112.6355469896082</v>
      </c>
      <c r="F2" s="15">
        <v>0</v>
      </c>
      <c r="G2" s="16">
        <v>0</v>
      </c>
      <c r="H2" s="15">
        <v>61086.4515381413</v>
      </c>
      <c r="I2" s="15">
        <v>0</v>
      </c>
      <c r="J2" s="16">
        <v>0</v>
      </c>
      <c r="K2" s="14" t="s">
        <v>141</v>
      </c>
      <c r="L2" s="14" t="s">
        <v>142</v>
      </c>
      <c r="M2" s="14" t="s">
        <v>143</v>
      </c>
    </row>
    <row r="3" spans="1:13">
      <c r="A3" s="14" t="s">
        <v>144</v>
      </c>
      <c r="B3" s="14">
        <v>52</v>
      </c>
      <c r="C3" s="14">
        <v>0</v>
      </c>
      <c r="D3" s="17">
        <v>0</v>
      </c>
      <c r="E3" s="18">
        <v>112.159064059838</v>
      </c>
      <c r="F3" s="15">
        <v>0.47648292977021361</v>
      </c>
      <c r="G3" s="16">
        <v>0.42303068836179569</v>
      </c>
      <c r="H3" s="15">
        <v>61086.4515381413</v>
      </c>
      <c r="I3" s="15">
        <v>0</v>
      </c>
      <c r="J3" s="16">
        <v>0</v>
      </c>
      <c r="K3" s="14" t="s">
        <v>141</v>
      </c>
      <c r="L3" s="14" t="s">
        <v>142</v>
      </c>
      <c r="M3" s="14" t="s">
        <v>145</v>
      </c>
    </row>
    <row r="4" spans="1:13">
      <c r="A4" s="14" t="s">
        <v>146</v>
      </c>
      <c r="B4" s="14">
        <v>18</v>
      </c>
      <c r="C4" s="14">
        <v>34</v>
      </c>
      <c r="D4" s="17">
        <v>65.384615384615387</v>
      </c>
      <c r="E4" s="18">
        <v>63.582266387936762</v>
      </c>
      <c r="F4" s="15">
        <v>49.053280601671453</v>
      </c>
      <c r="G4" s="16">
        <v>43.550443809889892</v>
      </c>
      <c r="H4" s="15">
        <v>19426.76125805109</v>
      </c>
      <c r="I4" s="15">
        <v>41659.690280090203</v>
      </c>
      <c r="J4" s="16">
        <v>68.197921521237205</v>
      </c>
      <c r="K4" s="14" t="s">
        <v>142</v>
      </c>
      <c r="L4" s="14" t="s">
        <v>142</v>
      </c>
      <c r="M4" s="14" t="s">
        <v>147</v>
      </c>
    </row>
    <row r="5" spans="1:13">
      <c r="A5" s="14" t="s">
        <v>148</v>
      </c>
      <c r="B5" s="14">
        <v>18</v>
      </c>
      <c r="C5" s="14">
        <v>34</v>
      </c>
      <c r="D5" s="17">
        <v>65.384615384615387</v>
      </c>
      <c r="E5" s="18">
        <v>63.05857757030072</v>
      </c>
      <c r="F5" s="15">
        <v>49.576969419307503</v>
      </c>
      <c r="G5" s="16">
        <v>44.015384791340757</v>
      </c>
      <c r="H5" s="15">
        <v>19426.76125805109</v>
      </c>
      <c r="I5" s="15">
        <v>41659.690280090203</v>
      </c>
      <c r="J5" s="16">
        <v>68.197921521237205</v>
      </c>
      <c r="K5" s="14" t="s">
        <v>141</v>
      </c>
      <c r="L5" s="14" t="s">
        <v>142</v>
      </c>
      <c r="M5" s="14" t="s">
        <v>149</v>
      </c>
    </row>
  </sheetData>
  <autoFilter ref="A1:M5" xr:uid="{00000000-0009-0000-0000-000008000000}"/>
  <phoneticPr fontId="8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6"/>
  <sheetViews>
    <sheetView showGridLines="0" workbookViewId="0">
      <pane ySplit="1" topLeftCell="A2" activePane="bottomLeft" state="frozen"/>
      <selection pane="bottomLeft"/>
    </sheetView>
  </sheetViews>
  <sheetFormatPr defaultRowHeight="14.4"/>
  <cols>
    <col min="1" max="1" width="6" customWidth="1"/>
    <col min="2" max="2" width="7" customWidth="1"/>
    <col min="3" max="3" width="21" customWidth="1"/>
    <col min="4" max="4" width="20" customWidth="1"/>
    <col min="5" max="5" width="11" customWidth="1"/>
    <col min="6" max="6" width="19" customWidth="1"/>
    <col min="7" max="7" width="20" customWidth="1"/>
    <col min="8" max="8" width="12" customWidth="1"/>
    <col min="9" max="9" width="24" customWidth="1"/>
    <col min="10" max="11" width="20" customWidth="1"/>
    <col min="12" max="12" width="24" customWidth="1"/>
    <col min="13" max="13" width="9" customWidth="1"/>
    <col min="14" max="14" width="31" customWidth="1"/>
  </cols>
  <sheetData>
    <row r="1" spans="1:14" ht="43.2">
      <c r="A1" s="13" t="s">
        <v>25</v>
      </c>
      <c r="B1" s="13" t="s">
        <v>24</v>
      </c>
      <c r="C1" s="13" t="s">
        <v>150</v>
      </c>
      <c r="D1" s="13" t="s">
        <v>151</v>
      </c>
      <c r="E1" s="13" t="s">
        <v>152</v>
      </c>
      <c r="F1" s="13" t="s">
        <v>153</v>
      </c>
      <c r="G1" s="13" t="s">
        <v>154</v>
      </c>
      <c r="H1" s="13" t="s">
        <v>123</v>
      </c>
      <c r="I1" s="13" t="s">
        <v>155</v>
      </c>
      <c r="J1" s="13" t="s">
        <v>119</v>
      </c>
      <c r="K1" s="13" t="s">
        <v>120</v>
      </c>
      <c r="L1" s="13" t="s">
        <v>121</v>
      </c>
      <c r="M1" s="13" t="s">
        <v>156</v>
      </c>
      <c r="N1" s="13" t="s">
        <v>157</v>
      </c>
    </row>
    <row r="2" spans="1:14">
      <c r="A2" s="14" t="s">
        <v>158</v>
      </c>
      <c r="B2" s="14" t="s">
        <v>33</v>
      </c>
      <c r="C2" s="14">
        <v>0.2</v>
      </c>
      <c r="D2" s="18">
        <v>25</v>
      </c>
      <c r="E2" s="18">
        <v>25</v>
      </c>
      <c r="F2" s="16">
        <v>100</v>
      </c>
      <c r="G2" s="15">
        <v>1.3123337385030871</v>
      </c>
      <c r="H2" s="15">
        <v>3.6</v>
      </c>
      <c r="I2" s="15">
        <v>2.2876662614969141</v>
      </c>
      <c r="J2" s="15">
        <v>6107.9576870369992</v>
      </c>
      <c r="K2" s="15">
        <v>20000</v>
      </c>
      <c r="L2" s="15">
        <v>13892.042312963</v>
      </c>
      <c r="M2" s="14" t="s">
        <v>142</v>
      </c>
      <c r="N2" s="14" t="s">
        <v>159</v>
      </c>
    </row>
    <row r="3" spans="1:14">
      <c r="A3" s="14" t="s">
        <v>158</v>
      </c>
      <c r="B3" s="14" t="s">
        <v>39</v>
      </c>
      <c r="C3" s="14">
        <v>0.2</v>
      </c>
      <c r="D3" s="18">
        <v>25</v>
      </c>
      <c r="E3" s="18">
        <v>25</v>
      </c>
      <c r="F3" s="16">
        <v>100</v>
      </c>
      <c r="G3" s="15">
        <v>3.0902375763934331</v>
      </c>
      <c r="H3" s="15">
        <v>3.6</v>
      </c>
      <c r="I3" s="15">
        <v>0.50976242360656698</v>
      </c>
      <c r="J3" s="15">
        <v>14822.620910168371</v>
      </c>
      <c r="K3" s="15">
        <v>20000</v>
      </c>
      <c r="L3" s="15">
        <v>5177.3790898316347</v>
      </c>
      <c r="M3" s="14" t="s">
        <v>142</v>
      </c>
      <c r="N3" s="14" t="s">
        <v>159</v>
      </c>
    </row>
    <row r="4" spans="1:14">
      <c r="A4" s="14" t="s">
        <v>158</v>
      </c>
      <c r="B4" s="14" t="s">
        <v>44</v>
      </c>
      <c r="C4" s="14">
        <v>0.2</v>
      </c>
      <c r="D4" s="18">
        <v>25</v>
      </c>
      <c r="E4" s="18">
        <v>25</v>
      </c>
      <c r="F4" s="16">
        <v>100</v>
      </c>
      <c r="G4" s="15">
        <v>3.1563842913401419</v>
      </c>
      <c r="H4" s="15">
        <v>3.6</v>
      </c>
      <c r="I4" s="15">
        <v>0.44361570865985778</v>
      </c>
      <c r="J4" s="15">
        <v>14526.358513113</v>
      </c>
      <c r="K4" s="15">
        <v>20000</v>
      </c>
      <c r="L4" s="15">
        <v>5473.6414868869997</v>
      </c>
      <c r="M4" s="14" t="s">
        <v>142</v>
      </c>
      <c r="N4" s="14" t="s">
        <v>159</v>
      </c>
    </row>
    <row r="5" spans="1:14">
      <c r="A5" s="14" t="s">
        <v>158</v>
      </c>
      <c r="B5" s="14" t="s">
        <v>49</v>
      </c>
      <c r="C5" s="14">
        <v>0.2</v>
      </c>
      <c r="D5" s="18">
        <v>25</v>
      </c>
      <c r="E5" s="18">
        <v>25</v>
      </c>
      <c r="F5" s="16">
        <v>100</v>
      </c>
      <c r="G5" s="15">
        <v>3.267172239923648</v>
      </c>
      <c r="H5" s="15">
        <v>3.6</v>
      </c>
      <c r="I5" s="15">
        <v>0.33282776007635162</v>
      </c>
      <c r="J5" s="15">
        <v>15429.39289823434</v>
      </c>
      <c r="K5" s="15">
        <v>20000</v>
      </c>
      <c r="L5" s="15">
        <v>4570.607101765665</v>
      </c>
      <c r="M5" s="14" t="s">
        <v>142</v>
      </c>
      <c r="N5" s="14" t="s">
        <v>159</v>
      </c>
    </row>
    <row r="6" spans="1:14">
      <c r="A6" s="14" t="s">
        <v>158</v>
      </c>
      <c r="B6" s="14" t="s">
        <v>52</v>
      </c>
      <c r="C6" s="14">
        <v>0.2</v>
      </c>
      <c r="D6" s="18">
        <v>25</v>
      </c>
      <c r="E6" s="18">
        <v>25</v>
      </c>
      <c r="F6" s="16">
        <v>100</v>
      </c>
      <c r="G6" s="15">
        <v>2.243432065734964</v>
      </c>
      <c r="H6" s="15">
        <v>3.6</v>
      </c>
      <c r="I6" s="15">
        <v>1.3565679342650361</v>
      </c>
      <c r="J6" s="15">
        <v>10561.21387374609</v>
      </c>
      <c r="K6" s="15">
        <v>20000</v>
      </c>
      <c r="L6" s="15">
        <v>9438.7861262539118</v>
      </c>
      <c r="M6" s="14" t="s">
        <v>142</v>
      </c>
      <c r="N6" s="14" t="s">
        <v>159</v>
      </c>
    </row>
    <row r="7" spans="1:14">
      <c r="A7" s="14" t="s">
        <v>158</v>
      </c>
      <c r="B7" s="14" t="s">
        <v>55</v>
      </c>
      <c r="C7" s="14">
        <v>0.2</v>
      </c>
      <c r="D7" s="18">
        <v>25</v>
      </c>
      <c r="E7" s="18">
        <v>25</v>
      </c>
      <c r="F7" s="16">
        <v>100</v>
      </c>
      <c r="G7" s="15">
        <v>1.3918795097336889</v>
      </c>
      <c r="H7" s="15">
        <v>3.6</v>
      </c>
      <c r="I7" s="15">
        <v>2.2081204902663112</v>
      </c>
      <c r="J7" s="15">
        <v>6372.4163568273116</v>
      </c>
      <c r="K7" s="15">
        <v>20000</v>
      </c>
      <c r="L7" s="15">
        <v>13627.583643172689</v>
      </c>
      <c r="M7" s="14" t="s">
        <v>142</v>
      </c>
      <c r="N7" s="14" t="s">
        <v>159</v>
      </c>
    </row>
    <row r="8" spans="1:14">
      <c r="A8" s="14" t="s">
        <v>158</v>
      </c>
      <c r="B8" s="14" t="s">
        <v>58</v>
      </c>
      <c r="C8" s="14">
        <v>0.2</v>
      </c>
      <c r="D8" s="18">
        <v>25</v>
      </c>
      <c r="E8" s="18">
        <v>25</v>
      </c>
      <c r="F8" s="16">
        <v>100</v>
      </c>
      <c r="G8" s="15">
        <v>2.0123011098953718</v>
      </c>
      <c r="H8" s="15">
        <v>3.6</v>
      </c>
      <c r="I8" s="15">
        <v>1.5876988901046281</v>
      </c>
      <c r="J8" s="15">
        <v>9068.9211336321478</v>
      </c>
      <c r="K8" s="15">
        <v>20000</v>
      </c>
      <c r="L8" s="15">
        <v>10931.07886636785</v>
      </c>
      <c r="M8" s="14" t="s">
        <v>142</v>
      </c>
      <c r="N8" s="14" t="s">
        <v>159</v>
      </c>
    </row>
    <row r="9" spans="1:14">
      <c r="A9" s="14" t="s">
        <v>158</v>
      </c>
      <c r="B9" s="14" t="s">
        <v>61</v>
      </c>
      <c r="C9" s="14">
        <v>0.2</v>
      </c>
      <c r="D9" s="18">
        <v>25</v>
      </c>
      <c r="E9" s="18">
        <v>25</v>
      </c>
      <c r="F9" s="16">
        <v>100</v>
      </c>
      <c r="G9" s="15">
        <v>3.3848335805057279</v>
      </c>
      <c r="H9" s="15">
        <v>3.6</v>
      </c>
      <c r="I9" s="15">
        <v>0.2151664194942717</v>
      </c>
      <c r="J9" s="15">
        <v>16158.06622484637</v>
      </c>
      <c r="K9" s="15">
        <v>20000</v>
      </c>
      <c r="L9" s="15">
        <v>3841.9337751536259</v>
      </c>
      <c r="M9" s="14" t="s">
        <v>142</v>
      </c>
      <c r="N9" s="14" t="s">
        <v>159</v>
      </c>
    </row>
    <row r="10" spans="1:14">
      <c r="A10" s="14" t="s">
        <v>158</v>
      </c>
      <c r="B10" s="14" t="s">
        <v>64</v>
      </c>
      <c r="C10" s="14">
        <v>0.2</v>
      </c>
      <c r="D10" s="18">
        <v>25</v>
      </c>
      <c r="E10" s="18">
        <v>25</v>
      </c>
      <c r="F10" s="16">
        <v>100</v>
      </c>
      <c r="G10" s="15">
        <v>2.3892535037455498</v>
      </c>
      <c r="H10" s="15">
        <v>3.6</v>
      </c>
      <c r="I10" s="15">
        <v>1.2107464962544501</v>
      </c>
      <c r="J10" s="15">
        <v>11410.28992455407</v>
      </c>
      <c r="K10" s="15">
        <v>20000</v>
      </c>
      <c r="L10" s="15">
        <v>8589.7100754459261</v>
      </c>
      <c r="M10" s="14" t="s">
        <v>142</v>
      </c>
      <c r="N10" s="14" t="s">
        <v>159</v>
      </c>
    </row>
    <row r="11" spans="1:14">
      <c r="A11" s="14" t="s">
        <v>158</v>
      </c>
      <c r="B11" s="14" t="s">
        <v>68</v>
      </c>
      <c r="C11" s="14">
        <v>0.2</v>
      </c>
      <c r="D11" s="18">
        <v>25</v>
      </c>
      <c r="E11" s="18">
        <v>25</v>
      </c>
      <c r="F11" s="16">
        <v>100</v>
      </c>
      <c r="G11" s="15">
        <v>2.0702932531078222</v>
      </c>
      <c r="H11" s="15">
        <v>3.6</v>
      </c>
      <c r="I11" s="15">
        <v>1.5297067468921779</v>
      </c>
      <c r="J11" s="15">
        <v>9568.9897032872595</v>
      </c>
      <c r="K11" s="15">
        <v>20000</v>
      </c>
      <c r="L11" s="15">
        <v>10431.01029671274</v>
      </c>
      <c r="M11" s="14" t="s">
        <v>142</v>
      </c>
      <c r="N11" s="14" t="s">
        <v>159</v>
      </c>
    </row>
    <row r="12" spans="1:14">
      <c r="A12" s="14" t="s">
        <v>158</v>
      </c>
      <c r="B12" s="14" t="s">
        <v>71</v>
      </c>
      <c r="C12" s="14">
        <v>0.2</v>
      </c>
      <c r="D12" s="18">
        <v>25</v>
      </c>
      <c r="E12" s="18">
        <v>25</v>
      </c>
      <c r="F12" s="16">
        <v>100</v>
      </c>
      <c r="G12" s="15">
        <v>1.2190324911259001</v>
      </c>
      <c r="H12" s="15">
        <v>3.6</v>
      </c>
      <c r="I12" s="15">
        <v>2.3809675088740998</v>
      </c>
      <c r="J12" s="15">
        <v>5616.1484653632924</v>
      </c>
      <c r="K12" s="15">
        <v>20000</v>
      </c>
      <c r="L12" s="15">
        <v>14383.851534636709</v>
      </c>
      <c r="M12" s="14" t="s">
        <v>142</v>
      </c>
      <c r="N12" s="14" t="s">
        <v>159</v>
      </c>
    </row>
    <row r="13" spans="1:14">
      <c r="A13" s="14" t="s">
        <v>158</v>
      </c>
      <c r="B13" s="14" t="s">
        <v>74</v>
      </c>
      <c r="C13" s="14">
        <v>0.2</v>
      </c>
      <c r="D13" s="18">
        <v>25</v>
      </c>
      <c r="E13" s="18">
        <v>25</v>
      </c>
      <c r="F13" s="16">
        <v>100</v>
      </c>
      <c r="G13" s="15">
        <v>3.1298583831468449</v>
      </c>
      <c r="H13" s="15">
        <v>3.6</v>
      </c>
      <c r="I13" s="15">
        <v>0.47014161685315559</v>
      </c>
      <c r="J13" s="15">
        <v>14780.983373955751</v>
      </c>
      <c r="K13" s="15">
        <v>20000</v>
      </c>
      <c r="L13" s="15">
        <v>5219.0166260442511</v>
      </c>
      <c r="M13" s="14" t="s">
        <v>142</v>
      </c>
      <c r="N13" s="14" t="s">
        <v>159</v>
      </c>
    </row>
    <row r="14" spans="1:14">
      <c r="A14" s="14" t="s">
        <v>158</v>
      </c>
      <c r="B14" s="14" t="s">
        <v>77</v>
      </c>
      <c r="C14" s="14">
        <v>0.2</v>
      </c>
      <c r="D14" s="18">
        <v>25</v>
      </c>
      <c r="E14" s="18">
        <v>25</v>
      </c>
      <c r="F14" s="16">
        <v>100</v>
      </c>
      <c r="G14" s="15">
        <v>2.0737250901096469</v>
      </c>
      <c r="H14" s="15">
        <v>3.6</v>
      </c>
      <c r="I14" s="15">
        <v>1.526274909890353</v>
      </c>
      <c r="J14" s="15">
        <v>9698.484754461022</v>
      </c>
      <c r="K14" s="15">
        <v>20000</v>
      </c>
      <c r="L14" s="15">
        <v>10301.51524553898</v>
      </c>
      <c r="M14" s="14" t="s">
        <v>142</v>
      </c>
      <c r="N14" s="14" t="s">
        <v>159</v>
      </c>
    </row>
    <row r="15" spans="1:14">
      <c r="A15" s="14" t="s">
        <v>158</v>
      </c>
      <c r="B15" s="14" t="s">
        <v>80</v>
      </c>
      <c r="C15" s="14">
        <v>0.2</v>
      </c>
      <c r="D15" s="18">
        <v>25</v>
      </c>
      <c r="E15" s="18">
        <v>25</v>
      </c>
      <c r="F15" s="16">
        <v>100</v>
      </c>
      <c r="G15" s="15">
        <v>2.4252498071106698</v>
      </c>
      <c r="H15" s="15">
        <v>3.6</v>
      </c>
      <c r="I15" s="15">
        <v>1.17475019288933</v>
      </c>
      <c r="J15" s="15">
        <v>10839.20371642628</v>
      </c>
      <c r="K15" s="15">
        <v>20000</v>
      </c>
      <c r="L15" s="15">
        <v>9160.7962835737198</v>
      </c>
      <c r="M15" s="14" t="s">
        <v>142</v>
      </c>
      <c r="N15" s="14" t="s">
        <v>159</v>
      </c>
    </row>
    <row r="16" spans="1:14">
      <c r="A16" s="14" t="s">
        <v>158</v>
      </c>
      <c r="B16" s="14" t="s">
        <v>83</v>
      </c>
      <c r="C16" s="14">
        <v>0.2</v>
      </c>
      <c r="D16" s="18">
        <v>25</v>
      </c>
      <c r="E16" s="18">
        <v>25</v>
      </c>
      <c r="F16" s="16">
        <v>100</v>
      </c>
      <c r="G16" s="15">
        <v>2.621011410814428</v>
      </c>
      <c r="H16" s="15">
        <v>3.6</v>
      </c>
      <c r="I16" s="15">
        <v>0.97898858918557252</v>
      </c>
      <c r="J16" s="15">
        <v>12018.76594324058</v>
      </c>
      <c r="K16" s="15">
        <v>20000</v>
      </c>
      <c r="L16" s="15">
        <v>7981.2340567594201</v>
      </c>
      <c r="M16" s="14" t="s">
        <v>142</v>
      </c>
      <c r="N16" s="14" t="s">
        <v>159</v>
      </c>
    </row>
    <row r="17" spans="1:14">
      <c r="A17" s="14" t="s">
        <v>65</v>
      </c>
      <c r="B17" s="14" t="s">
        <v>33</v>
      </c>
      <c r="C17" s="14">
        <v>0.2</v>
      </c>
      <c r="D17" s="18">
        <v>30</v>
      </c>
      <c r="E17" s="18">
        <v>30</v>
      </c>
      <c r="F17" s="16">
        <v>100</v>
      </c>
      <c r="G17" s="15">
        <v>1.2735642816643911</v>
      </c>
      <c r="H17" s="15">
        <v>3.2</v>
      </c>
      <c r="I17" s="15">
        <v>1.9264357183356089</v>
      </c>
      <c r="J17" s="15">
        <v>6107.9576870369992</v>
      </c>
      <c r="K17" s="15">
        <v>16000</v>
      </c>
      <c r="L17" s="15">
        <v>9892.0423129629999</v>
      </c>
      <c r="M17" s="14" t="s">
        <v>142</v>
      </c>
      <c r="N17" s="14" t="s">
        <v>159</v>
      </c>
    </row>
    <row r="18" spans="1:14">
      <c r="A18" s="14" t="s">
        <v>65</v>
      </c>
      <c r="B18" s="14" t="s">
        <v>39</v>
      </c>
      <c r="C18" s="14">
        <v>0.2</v>
      </c>
      <c r="D18" s="18">
        <v>30</v>
      </c>
      <c r="E18" s="18">
        <v>30</v>
      </c>
      <c r="F18" s="16">
        <v>100</v>
      </c>
      <c r="G18" s="15">
        <v>2.9985375217914481</v>
      </c>
      <c r="H18" s="15">
        <v>3.2</v>
      </c>
      <c r="I18" s="15">
        <v>0.20146247820855259</v>
      </c>
      <c r="J18" s="15">
        <v>14822.620910168371</v>
      </c>
      <c r="K18" s="15">
        <v>16000</v>
      </c>
      <c r="L18" s="15">
        <v>1177.3790898316349</v>
      </c>
      <c r="M18" s="14" t="s">
        <v>142</v>
      </c>
      <c r="N18" s="14" t="s">
        <v>159</v>
      </c>
    </row>
    <row r="19" spans="1:14">
      <c r="A19" s="14" t="s">
        <v>65</v>
      </c>
      <c r="B19" s="14" t="s">
        <v>44</v>
      </c>
      <c r="C19" s="14">
        <v>0.2</v>
      </c>
      <c r="D19" s="18">
        <v>30</v>
      </c>
      <c r="E19" s="18">
        <v>30</v>
      </c>
      <c r="F19" s="16">
        <v>100</v>
      </c>
      <c r="G19" s="15">
        <v>3.0639644676453468</v>
      </c>
      <c r="H19" s="15">
        <v>3.2</v>
      </c>
      <c r="I19" s="15">
        <v>0.1360355323546534</v>
      </c>
      <c r="J19" s="15">
        <v>14526.358513113</v>
      </c>
      <c r="K19" s="15">
        <v>16000</v>
      </c>
      <c r="L19" s="15">
        <v>1473.6414868869999</v>
      </c>
      <c r="M19" s="14" t="s">
        <v>142</v>
      </c>
      <c r="N19" s="14" t="s">
        <v>159</v>
      </c>
    </row>
    <row r="20" spans="1:14">
      <c r="A20" s="14" t="s">
        <v>65</v>
      </c>
      <c r="B20" s="14" t="s">
        <v>49</v>
      </c>
      <c r="C20" s="14">
        <v>0.2</v>
      </c>
      <c r="D20" s="18">
        <v>30</v>
      </c>
      <c r="E20" s="18">
        <v>30</v>
      </c>
      <c r="F20" s="16">
        <v>100</v>
      </c>
      <c r="G20" s="15">
        <v>3.1702187816546692</v>
      </c>
      <c r="H20" s="15">
        <v>3.2</v>
      </c>
      <c r="I20" s="15">
        <v>2.9781218345330981E-2</v>
      </c>
      <c r="J20" s="15">
        <v>15429.39289823434</v>
      </c>
      <c r="K20" s="15">
        <v>16000</v>
      </c>
      <c r="L20" s="15">
        <v>570.60710176566499</v>
      </c>
      <c r="M20" s="14" t="s">
        <v>142</v>
      </c>
      <c r="N20" s="14" t="s">
        <v>159</v>
      </c>
    </row>
    <row r="21" spans="1:14">
      <c r="A21" s="14" t="s">
        <v>65</v>
      </c>
      <c r="B21" s="14" t="s">
        <v>52</v>
      </c>
      <c r="C21" s="14">
        <v>0.2</v>
      </c>
      <c r="D21" s="18">
        <v>30</v>
      </c>
      <c r="E21" s="18">
        <v>30</v>
      </c>
      <c r="F21" s="16">
        <v>100</v>
      </c>
      <c r="G21" s="15">
        <v>2.1769009075059489</v>
      </c>
      <c r="H21" s="15">
        <v>3.2</v>
      </c>
      <c r="I21" s="15">
        <v>1.0230990924940511</v>
      </c>
      <c r="J21" s="15">
        <v>10561.21387374609</v>
      </c>
      <c r="K21" s="15">
        <v>16000</v>
      </c>
      <c r="L21" s="15">
        <v>5438.7861262539118</v>
      </c>
      <c r="M21" s="14" t="s">
        <v>142</v>
      </c>
      <c r="N21" s="14" t="s">
        <v>159</v>
      </c>
    </row>
    <row r="22" spans="1:14">
      <c r="A22" s="14" t="s">
        <v>65</v>
      </c>
      <c r="B22" s="14" t="s">
        <v>55</v>
      </c>
      <c r="C22" s="14">
        <v>0.2</v>
      </c>
      <c r="D22" s="18">
        <v>30</v>
      </c>
      <c r="E22" s="18">
        <v>30</v>
      </c>
      <c r="F22" s="16">
        <v>100</v>
      </c>
      <c r="G22" s="15">
        <v>1.3520364488569681</v>
      </c>
      <c r="H22" s="15">
        <v>3.2</v>
      </c>
      <c r="I22" s="15">
        <v>1.8479635511430319</v>
      </c>
      <c r="J22" s="15">
        <v>6372.4163568273116</v>
      </c>
      <c r="K22" s="15">
        <v>16000</v>
      </c>
      <c r="L22" s="15">
        <v>9627.5836431726893</v>
      </c>
      <c r="M22" s="14" t="s">
        <v>142</v>
      </c>
      <c r="N22" s="14" t="s">
        <v>159</v>
      </c>
    </row>
    <row r="23" spans="1:14">
      <c r="A23" s="14" t="s">
        <v>65</v>
      </c>
      <c r="B23" s="14" t="s">
        <v>58</v>
      </c>
      <c r="C23" s="14">
        <v>0.2</v>
      </c>
      <c r="D23" s="18">
        <v>30</v>
      </c>
      <c r="E23" s="18">
        <v>30</v>
      </c>
      <c r="F23" s="16">
        <v>100</v>
      </c>
      <c r="G23" s="15">
        <v>1.9542583008910539</v>
      </c>
      <c r="H23" s="15">
        <v>3.2</v>
      </c>
      <c r="I23" s="15">
        <v>1.2457416991089461</v>
      </c>
      <c r="J23" s="15">
        <v>9068.9211336321478</v>
      </c>
      <c r="K23" s="15">
        <v>16000</v>
      </c>
      <c r="L23" s="15">
        <v>6931.0788663678522</v>
      </c>
      <c r="M23" s="14" t="s">
        <v>142</v>
      </c>
      <c r="N23" s="14" t="s">
        <v>159</v>
      </c>
    </row>
    <row r="24" spans="1:14">
      <c r="A24" s="14" t="s">
        <v>65</v>
      </c>
      <c r="B24" s="14" t="s">
        <v>61</v>
      </c>
      <c r="C24" s="14">
        <v>0.2</v>
      </c>
      <c r="D24" s="18">
        <v>28.833379072537898</v>
      </c>
      <c r="E24" s="18">
        <v>30</v>
      </c>
      <c r="F24" s="16">
        <v>96.11126357512633</v>
      </c>
      <c r="G24" s="15">
        <v>3.2000000009999998</v>
      </c>
      <c r="H24" s="15">
        <v>3.2</v>
      </c>
      <c r="I24" s="15">
        <v>-9.9999963865116115E-10</v>
      </c>
      <c r="J24" s="15">
        <v>16158.06622484637</v>
      </c>
      <c r="K24" s="15">
        <v>16693.122773673062</v>
      </c>
      <c r="L24" s="15">
        <v>535.05654882668387</v>
      </c>
      <c r="M24" s="14" t="s">
        <v>142</v>
      </c>
      <c r="N24" s="14" t="s">
        <v>160</v>
      </c>
    </row>
    <row r="25" spans="1:14">
      <c r="A25" s="14" t="s">
        <v>65</v>
      </c>
      <c r="B25" s="14" t="s">
        <v>64</v>
      </c>
      <c r="C25" s="14">
        <v>0.2</v>
      </c>
      <c r="D25" s="18">
        <v>30</v>
      </c>
      <c r="E25" s="18">
        <v>30</v>
      </c>
      <c r="F25" s="16">
        <v>100</v>
      </c>
      <c r="G25" s="15">
        <v>2.318580812559214</v>
      </c>
      <c r="H25" s="15">
        <v>3.2</v>
      </c>
      <c r="I25" s="15">
        <v>0.88141918744078662</v>
      </c>
      <c r="J25" s="15">
        <v>11410.28992455407</v>
      </c>
      <c r="K25" s="15">
        <v>16000</v>
      </c>
      <c r="L25" s="15">
        <v>4589.7100754459261</v>
      </c>
      <c r="M25" s="14" t="s">
        <v>142</v>
      </c>
      <c r="N25" s="14" t="s">
        <v>159</v>
      </c>
    </row>
    <row r="26" spans="1:14">
      <c r="A26" s="14" t="s">
        <v>65</v>
      </c>
      <c r="B26" s="14" t="s">
        <v>68</v>
      </c>
      <c r="C26" s="14">
        <v>0.2</v>
      </c>
      <c r="D26" s="18">
        <v>30</v>
      </c>
      <c r="E26" s="18">
        <v>30</v>
      </c>
      <c r="F26" s="16">
        <v>100</v>
      </c>
      <c r="G26" s="15">
        <v>2.0106057371189041</v>
      </c>
      <c r="H26" s="15">
        <v>3.2</v>
      </c>
      <c r="I26" s="15">
        <v>1.1893942628810961</v>
      </c>
      <c r="J26" s="15">
        <v>9568.9897032872595</v>
      </c>
      <c r="K26" s="15">
        <v>16000</v>
      </c>
      <c r="L26" s="15">
        <v>6431.0102967127395</v>
      </c>
      <c r="M26" s="14" t="s">
        <v>142</v>
      </c>
      <c r="N26" s="14" t="s">
        <v>159</v>
      </c>
    </row>
    <row r="27" spans="1:14">
      <c r="A27" s="14" t="s">
        <v>65</v>
      </c>
      <c r="B27" s="14" t="s">
        <v>71</v>
      </c>
      <c r="C27" s="14">
        <v>0.2</v>
      </c>
      <c r="D27" s="18">
        <v>30</v>
      </c>
      <c r="E27" s="18">
        <v>30</v>
      </c>
      <c r="F27" s="16">
        <v>100</v>
      </c>
      <c r="G27" s="15">
        <v>1.1833206973955981</v>
      </c>
      <c r="H27" s="15">
        <v>3.2</v>
      </c>
      <c r="I27" s="15">
        <v>2.0166793026044019</v>
      </c>
      <c r="J27" s="15">
        <v>5616.1484653632924</v>
      </c>
      <c r="K27" s="15">
        <v>16000</v>
      </c>
      <c r="L27" s="15">
        <v>10383.851534636709</v>
      </c>
      <c r="M27" s="14" t="s">
        <v>142</v>
      </c>
      <c r="N27" s="14" t="s">
        <v>159</v>
      </c>
    </row>
    <row r="28" spans="1:14">
      <c r="A28" s="14" t="s">
        <v>65</v>
      </c>
      <c r="B28" s="14" t="s">
        <v>74</v>
      </c>
      <c r="C28" s="14">
        <v>0.2</v>
      </c>
      <c r="D28" s="18">
        <v>30</v>
      </c>
      <c r="E28" s="18">
        <v>30</v>
      </c>
      <c r="F28" s="16">
        <v>100</v>
      </c>
      <c r="G28" s="15">
        <v>3.0376577354433518</v>
      </c>
      <c r="H28" s="15">
        <v>3.2</v>
      </c>
      <c r="I28" s="15">
        <v>0.16234226455664841</v>
      </c>
      <c r="J28" s="15">
        <v>14780.983373955751</v>
      </c>
      <c r="K28" s="15">
        <v>16000</v>
      </c>
      <c r="L28" s="15">
        <v>1219.0166260442511</v>
      </c>
      <c r="M28" s="14" t="s">
        <v>142</v>
      </c>
      <c r="N28" s="14" t="s">
        <v>159</v>
      </c>
    </row>
    <row r="29" spans="1:14">
      <c r="A29" s="14" t="s">
        <v>65</v>
      </c>
      <c r="B29" s="14" t="s">
        <v>77</v>
      </c>
      <c r="C29" s="14">
        <v>0.2</v>
      </c>
      <c r="D29" s="18">
        <v>30</v>
      </c>
      <c r="E29" s="18">
        <v>30</v>
      </c>
      <c r="F29" s="16">
        <v>100</v>
      </c>
      <c r="G29" s="15">
        <v>2.0139433645809501</v>
      </c>
      <c r="H29" s="15">
        <v>3.2</v>
      </c>
      <c r="I29" s="15">
        <v>1.18605663541905</v>
      </c>
      <c r="J29" s="15">
        <v>9698.484754461022</v>
      </c>
      <c r="K29" s="15">
        <v>16000</v>
      </c>
      <c r="L29" s="15">
        <v>6301.515245538978</v>
      </c>
      <c r="M29" s="14" t="s">
        <v>142</v>
      </c>
      <c r="N29" s="14" t="s">
        <v>159</v>
      </c>
    </row>
    <row r="30" spans="1:14">
      <c r="A30" s="14" t="s">
        <v>65</v>
      </c>
      <c r="B30" s="14" t="s">
        <v>80</v>
      </c>
      <c r="C30" s="14">
        <v>0.2</v>
      </c>
      <c r="D30" s="18">
        <v>30</v>
      </c>
      <c r="E30" s="18">
        <v>30</v>
      </c>
      <c r="F30" s="16">
        <v>100</v>
      </c>
      <c r="G30" s="15">
        <v>2.354881987564275</v>
      </c>
      <c r="H30" s="15">
        <v>3.2</v>
      </c>
      <c r="I30" s="15">
        <v>0.84511801243572471</v>
      </c>
      <c r="J30" s="15">
        <v>10839.20371642628</v>
      </c>
      <c r="K30" s="15">
        <v>16000</v>
      </c>
      <c r="L30" s="15">
        <v>5160.7962835737198</v>
      </c>
      <c r="M30" s="14" t="s">
        <v>142</v>
      </c>
      <c r="N30" s="14" t="s">
        <v>159</v>
      </c>
    </row>
    <row r="31" spans="1:14">
      <c r="A31" s="14" t="s">
        <v>65</v>
      </c>
      <c r="B31" s="14" t="s">
        <v>83</v>
      </c>
      <c r="C31" s="14">
        <v>0.2</v>
      </c>
      <c r="D31" s="18">
        <v>30</v>
      </c>
      <c r="E31" s="18">
        <v>30</v>
      </c>
      <c r="F31" s="16">
        <v>100</v>
      </c>
      <c r="G31" s="15">
        <v>2.5460432483233122</v>
      </c>
      <c r="H31" s="15">
        <v>3.2</v>
      </c>
      <c r="I31" s="15">
        <v>0.65395675167668799</v>
      </c>
      <c r="J31" s="15">
        <v>12018.76594324058</v>
      </c>
      <c r="K31" s="15">
        <v>16000</v>
      </c>
      <c r="L31" s="15">
        <v>3981.2340567594201</v>
      </c>
      <c r="M31" s="14" t="s">
        <v>142</v>
      </c>
      <c r="N31" s="14" t="s">
        <v>159</v>
      </c>
    </row>
    <row r="32" spans="1:14">
      <c r="A32" s="14" t="s">
        <v>34</v>
      </c>
      <c r="B32" s="14" t="s">
        <v>33</v>
      </c>
      <c r="C32" s="14">
        <v>0.2</v>
      </c>
      <c r="D32" s="18">
        <v>80</v>
      </c>
      <c r="E32" s="18">
        <v>80</v>
      </c>
      <c r="F32" s="16">
        <v>100</v>
      </c>
      <c r="G32" s="15">
        <v>3.0810893411385498</v>
      </c>
      <c r="H32" s="15">
        <v>6.4</v>
      </c>
      <c r="I32" s="15">
        <v>3.3189106588614501</v>
      </c>
      <c r="J32" s="15">
        <v>6107.9576870369992</v>
      </c>
      <c r="K32" s="15">
        <v>12000</v>
      </c>
      <c r="L32" s="15">
        <v>5892.0423129630008</v>
      </c>
      <c r="M32" s="14" t="s">
        <v>142</v>
      </c>
      <c r="N32" s="14" t="s">
        <v>159</v>
      </c>
    </row>
    <row r="33" spans="1:14">
      <c r="A33" s="14" t="s">
        <v>34</v>
      </c>
      <c r="B33" s="14" t="s">
        <v>39</v>
      </c>
      <c r="C33" s="14">
        <v>0.2</v>
      </c>
      <c r="D33" s="18">
        <v>68.849049712201946</v>
      </c>
      <c r="E33" s="18">
        <v>80</v>
      </c>
      <c r="F33" s="16">
        <v>86.06131214025244</v>
      </c>
      <c r="G33" s="15">
        <v>6.3988576670825177</v>
      </c>
      <c r="H33" s="15">
        <v>6.4</v>
      </c>
      <c r="I33" s="15">
        <v>1.1423329174826691E-3</v>
      </c>
      <c r="J33" s="15">
        <v>14822.620910168371</v>
      </c>
      <c r="K33" s="15">
        <v>14822.62091016737</v>
      </c>
      <c r="L33" s="15">
        <v>-9.9680619314312935E-10</v>
      </c>
      <c r="M33" s="14" t="s">
        <v>142</v>
      </c>
      <c r="N33" s="14" t="s">
        <v>160</v>
      </c>
    </row>
    <row r="34" spans="1:14">
      <c r="A34" s="14" t="s">
        <v>34</v>
      </c>
      <c r="B34" s="14" t="s">
        <v>44</v>
      </c>
      <c r="C34" s="14">
        <v>0.2</v>
      </c>
      <c r="D34" s="18">
        <v>68.216368244920162</v>
      </c>
      <c r="E34" s="18">
        <v>80</v>
      </c>
      <c r="F34" s="16">
        <v>85.270460306150198</v>
      </c>
      <c r="G34" s="15">
        <v>6.4000000010000004</v>
      </c>
      <c r="H34" s="15">
        <v>6.4</v>
      </c>
      <c r="I34" s="15">
        <v>-1.000000082740371E-9</v>
      </c>
      <c r="J34" s="15">
        <v>14526.358513113</v>
      </c>
      <c r="K34" s="15">
        <v>14976.33652671966</v>
      </c>
      <c r="L34" s="15">
        <v>449.97801360665648</v>
      </c>
      <c r="M34" s="14" t="s">
        <v>142</v>
      </c>
      <c r="N34" s="14" t="s">
        <v>160</v>
      </c>
    </row>
    <row r="35" spans="1:14">
      <c r="A35" s="14" t="s">
        <v>34</v>
      </c>
      <c r="B35" s="14" t="s">
        <v>49</v>
      </c>
      <c r="C35" s="14">
        <v>0.2</v>
      </c>
      <c r="D35" s="18">
        <v>63.692373288543543</v>
      </c>
      <c r="E35" s="18">
        <v>80</v>
      </c>
      <c r="F35" s="16">
        <v>79.61546661067942</v>
      </c>
      <c r="G35" s="15">
        <v>6.4000000010000004</v>
      </c>
      <c r="H35" s="15">
        <v>6.4</v>
      </c>
      <c r="I35" s="15">
        <v>-1.000000082740371E-9</v>
      </c>
      <c r="J35" s="15">
        <v>15429.39289823434</v>
      </c>
      <c r="K35" s="15">
        <v>16054.555393643839</v>
      </c>
      <c r="L35" s="15">
        <v>625.16249540950776</v>
      </c>
      <c r="M35" s="14" t="s">
        <v>142</v>
      </c>
      <c r="N35" s="14" t="s">
        <v>160</v>
      </c>
    </row>
    <row r="36" spans="1:14">
      <c r="A36" s="14" t="s">
        <v>34</v>
      </c>
      <c r="B36" s="14" t="s">
        <v>52</v>
      </c>
      <c r="C36" s="14">
        <v>0.2</v>
      </c>
      <c r="D36" s="18">
        <v>80</v>
      </c>
      <c r="E36" s="18">
        <v>80</v>
      </c>
      <c r="F36" s="16">
        <v>100</v>
      </c>
      <c r="G36" s="15">
        <v>5.2910061073383456</v>
      </c>
      <c r="H36" s="15">
        <v>6.4</v>
      </c>
      <c r="I36" s="15">
        <v>1.1089938926616549</v>
      </c>
      <c r="J36" s="15">
        <v>10561.21387374609</v>
      </c>
      <c r="K36" s="15">
        <v>12000</v>
      </c>
      <c r="L36" s="15">
        <v>1438.786126253912</v>
      </c>
      <c r="M36" s="14" t="s">
        <v>142</v>
      </c>
      <c r="N36" s="14" t="s">
        <v>159</v>
      </c>
    </row>
    <row r="37" spans="1:14">
      <c r="A37" s="14" t="s">
        <v>34</v>
      </c>
      <c r="B37" s="14" t="s">
        <v>55</v>
      </c>
      <c r="C37" s="14">
        <v>0.2</v>
      </c>
      <c r="D37" s="18">
        <v>80</v>
      </c>
      <c r="E37" s="18">
        <v>80</v>
      </c>
      <c r="F37" s="16">
        <v>100</v>
      </c>
      <c r="G37" s="15">
        <v>3.2552573328101402</v>
      </c>
      <c r="H37" s="15">
        <v>6.4</v>
      </c>
      <c r="I37" s="15">
        <v>3.1447426671898611</v>
      </c>
      <c r="J37" s="15">
        <v>6372.4163568273116</v>
      </c>
      <c r="K37" s="15">
        <v>12000</v>
      </c>
      <c r="L37" s="15">
        <v>5627.5836431726884</v>
      </c>
      <c r="M37" s="14" t="s">
        <v>142</v>
      </c>
      <c r="N37" s="14" t="s">
        <v>159</v>
      </c>
    </row>
    <row r="38" spans="1:14">
      <c r="A38" s="14" t="s">
        <v>34</v>
      </c>
      <c r="B38" s="14" t="s">
        <v>58</v>
      </c>
      <c r="C38" s="14">
        <v>0.2</v>
      </c>
      <c r="D38" s="18">
        <v>80</v>
      </c>
      <c r="E38" s="18">
        <v>80</v>
      </c>
      <c r="F38" s="16">
        <v>100</v>
      </c>
      <c r="G38" s="15">
        <v>4.6714750335492852</v>
      </c>
      <c r="H38" s="15">
        <v>6.4</v>
      </c>
      <c r="I38" s="15">
        <v>1.728524966450715</v>
      </c>
      <c r="J38" s="15">
        <v>9068.9211336321478</v>
      </c>
      <c r="K38" s="15">
        <v>12000</v>
      </c>
      <c r="L38" s="15">
        <v>2931.0788663678518</v>
      </c>
      <c r="M38" s="14" t="s">
        <v>142</v>
      </c>
      <c r="N38" s="14" t="s">
        <v>159</v>
      </c>
    </row>
    <row r="39" spans="1:14">
      <c r="A39" s="14" t="s">
        <v>34</v>
      </c>
      <c r="B39" s="14" t="s">
        <v>61</v>
      </c>
      <c r="C39" s="14">
        <v>0.2</v>
      </c>
      <c r="D39" s="18">
        <v>58.954006636233522</v>
      </c>
      <c r="E39" s="18">
        <v>80</v>
      </c>
      <c r="F39" s="16">
        <v>73.692508295291901</v>
      </c>
      <c r="G39" s="15">
        <v>6.4000000010000004</v>
      </c>
      <c r="H39" s="15">
        <v>6.4</v>
      </c>
      <c r="I39" s="15">
        <v>-1.000000082740371E-9</v>
      </c>
      <c r="J39" s="15">
        <v>16158.06622484637</v>
      </c>
      <c r="K39" s="15">
        <v>17143.481295619658</v>
      </c>
      <c r="L39" s="15">
        <v>985.41507077328424</v>
      </c>
      <c r="M39" s="14" t="s">
        <v>142</v>
      </c>
      <c r="N39" s="14" t="s">
        <v>160</v>
      </c>
    </row>
    <row r="40" spans="1:14">
      <c r="A40" s="14" t="s">
        <v>34</v>
      </c>
      <c r="B40" s="14" t="s">
        <v>64</v>
      </c>
      <c r="C40" s="14">
        <v>0.2</v>
      </c>
      <c r="D40" s="18">
        <v>80</v>
      </c>
      <c r="E40" s="18">
        <v>80</v>
      </c>
      <c r="F40" s="16">
        <v>100</v>
      </c>
      <c r="G40" s="15">
        <v>5.6716701134076937</v>
      </c>
      <c r="H40" s="15">
        <v>6.4</v>
      </c>
      <c r="I40" s="15">
        <v>0.72832988659230669</v>
      </c>
      <c r="J40" s="15">
        <v>11410.28992455407</v>
      </c>
      <c r="K40" s="15">
        <v>12000</v>
      </c>
      <c r="L40" s="15">
        <v>589.71007544592612</v>
      </c>
      <c r="M40" s="14" t="s">
        <v>142</v>
      </c>
      <c r="N40" s="14" t="s">
        <v>159</v>
      </c>
    </row>
    <row r="41" spans="1:14">
      <c r="A41" s="14" t="s">
        <v>34</v>
      </c>
      <c r="B41" s="14" t="s">
        <v>68</v>
      </c>
      <c r="C41" s="14">
        <v>0.2</v>
      </c>
      <c r="D41" s="18">
        <v>80</v>
      </c>
      <c r="E41" s="18">
        <v>80</v>
      </c>
      <c r="F41" s="16">
        <v>100</v>
      </c>
      <c r="G41" s="15">
        <v>4.8581051065485674</v>
      </c>
      <c r="H41" s="15">
        <v>6.4</v>
      </c>
      <c r="I41" s="15">
        <v>1.541894893451434</v>
      </c>
      <c r="J41" s="15">
        <v>9568.9897032872595</v>
      </c>
      <c r="K41" s="15">
        <v>12000</v>
      </c>
      <c r="L41" s="15">
        <v>2431.01029671274</v>
      </c>
      <c r="M41" s="14" t="s">
        <v>142</v>
      </c>
      <c r="N41" s="14" t="s">
        <v>159</v>
      </c>
    </row>
    <row r="42" spans="1:14">
      <c r="A42" s="14" t="s">
        <v>34</v>
      </c>
      <c r="B42" s="14" t="s">
        <v>71</v>
      </c>
      <c r="C42" s="14">
        <v>0.2</v>
      </c>
      <c r="D42" s="18">
        <v>80</v>
      </c>
      <c r="E42" s="18">
        <v>80</v>
      </c>
      <c r="F42" s="16">
        <v>100</v>
      </c>
      <c r="G42" s="15">
        <v>2.8519964747457491</v>
      </c>
      <c r="H42" s="15">
        <v>6.4</v>
      </c>
      <c r="I42" s="15">
        <v>3.5480035252542521</v>
      </c>
      <c r="J42" s="15">
        <v>5616.1484653632924</v>
      </c>
      <c r="K42" s="15">
        <v>12000</v>
      </c>
      <c r="L42" s="15">
        <v>6383.8515346367076</v>
      </c>
      <c r="M42" s="14" t="s">
        <v>142</v>
      </c>
      <c r="N42" s="14" t="s">
        <v>159</v>
      </c>
    </row>
    <row r="43" spans="1:14">
      <c r="A43" s="14" t="s">
        <v>34</v>
      </c>
      <c r="B43" s="14" t="s">
        <v>74</v>
      </c>
      <c r="C43" s="14">
        <v>0.2</v>
      </c>
      <c r="D43" s="18">
        <v>68.140792845117375</v>
      </c>
      <c r="E43" s="18">
        <v>80</v>
      </c>
      <c r="F43" s="16">
        <v>85.175991056396725</v>
      </c>
      <c r="G43" s="15">
        <v>6.4000000010000004</v>
      </c>
      <c r="H43" s="15">
        <v>6.4</v>
      </c>
      <c r="I43" s="15">
        <v>-1.000000082740371E-9</v>
      </c>
      <c r="J43" s="15">
        <v>14780.983373955751</v>
      </c>
      <c r="K43" s="15">
        <v>14994.65075990703</v>
      </c>
      <c r="L43" s="15">
        <v>213.6673859512812</v>
      </c>
      <c r="M43" s="14" t="s">
        <v>142</v>
      </c>
      <c r="N43" s="14" t="s">
        <v>160</v>
      </c>
    </row>
    <row r="44" spans="1:14">
      <c r="A44" s="14" t="s">
        <v>34</v>
      </c>
      <c r="B44" s="14" t="s">
        <v>77</v>
      </c>
      <c r="C44" s="14">
        <v>0.2</v>
      </c>
      <c r="D44" s="18">
        <v>80</v>
      </c>
      <c r="E44" s="18">
        <v>80</v>
      </c>
      <c r="F44" s="16">
        <v>100</v>
      </c>
      <c r="G44" s="15">
        <v>4.8908433495482209</v>
      </c>
      <c r="H44" s="15">
        <v>6.4</v>
      </c>
      <c r="I44" s="15">
        <v>1.509156650451779</v>
      </c>
      <c r="J44" s="15">
        <v>9698.484754461022</v>
      </c>
      <c r="K44" s="15">
        <v>12000</v>
      </c>
      <c r="L44" s="15">
        <v>2301.515245538978</v>
      </c>
      <c r="M44" s="14" t="s">
        <v>142</v>
      </c>
      <c r="N44" s="14" t="s">
        <v>159</v>
      </c>
    </row>
    <row r="45" spans="1:14">
      <c r="A45" s="14" t="s">
        <v>34</v>
      </c>
      <c r="B45" s="14" t="s">
        <v>80</v>
      </c>
      <c r="C45" s="14">
        <v>0.2</v>
      </c>
      <c r="D45" s="18">
        <v>80</v>
      </c>
      <c r="E45" s="18">
        <v>80</v>
      </c>
      <c r="F45" s="16">
        <v>100</v>
      </c>
      <c r="G45" s="15">
        <v>5.6070735418347821</v>
      </c>
      <c r="H45" s="15">
        <v>6.4</v>
      </c>
      <c r="I45" s="15">
        <v>0.79292645816521823</v>
      </c>
      <c r="J45" s="15">
        <v>10839.20371642628</v>
      </c>
      <c r="K45" s="15">
        <v>12000</v>
      </c>
      <c r="L45" s="15">
        <v>1160.7962835737201</v>
      </c>
      <c r="M45" s="14" t="s">
        <v>142</v>
      </c>
      <c r="N45" s="14" t="s">
        <v>159</v>
      </c>
    </row>
    <row r="46" spans="1:14">
      <c r="A46" s="14" t="s">
        <v>34</v>
      </c>
      <c r="B46" s="14" t="s">
        <v>83</v>
      </c>
      <c r="C46" s="14">
        <v>0.2</v>
      </c>
      <c r="D46" s="18">
        <v>79.928494711895141</v>
      </c>
      <c r="E46" s="18">
        <v>80</v>
      </c>
      <c r="F46" s="16">
        <v>99.910618389868915</v>
      </c>
      <c r="G46" s="15">
        <v>6.1281233850843613</v>
      </c>
      <c r="H46" s="15">
        <v>6.4</v>
      </c>
      <c r="I46" s="15">
        <v>0.27187661491563908</v>
      </c>
      <c r="J46" s="15">
        <v>12018.76594324058</v>
      </c>
      <c r="K46" s="15">
        <v>12018.765943239579</v>
      </c>
      <c r="L46" s="15">
        <v>-1.0004441719502211E-9</v>
      </c>
      <c r="M46" s="14" t="s">
        <v>142</v>
      </c>
      <c r="N46" s="14" t="s">
        <v>160</v>
      </c>
    </row>
  </sheetData>
  <autoFilter ref="A1:N46" xr:uid="{00000000-0009-0000-0000-000009000000}"/>
  <phoneticPr fontId="8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"/>
  <sheetViews>
    <sheetView showGridLines="0" workbookViewId="0">
      <pane ySplit="1" topLeftCell="A2" activePane="bottomLeft" state="frozen"/>
      <selection pane="bottomLeft"/>
    </sheetView>
  </sheetViews>
  <sheetFormatPr defaultRowHeight="14.4"/>
  <cols>
    <col min="1" max="2" width="7" customWidth="1"/>
    <col min="3" max="4" width="8" customWidth="1"/>
    <col min="5" max="6" width="20" customWidth="1"/>
    <col min="7" max="7" width="21" customWidth="1"/>
    <col min="8" max="9" width="19" customWidth="1"/>
    <col min="10" max="12" width="20" customWidth="1"/>
    <col min="13" max="15" width="10" customWidth="1"/>
    <col min="16" max="16" width="52" customWidth="1"/>
  </cols>
  <sheetData>
    <row r="1" spans="1:16" ht="43.2">
      <c r="A1" s="13" t="s">
        <v>150</v>
      </c>
      <c r="B1" s="13" t="s">
        <v>161</v>
      </c>
      <c r="C1" s="13" t="s">
        <v>162</v>
      </c>
      <c r="D1" s="13" t="s">
        <v>129</v>
      </c>
      <c r="E1" s="13" t="s">
        <v>163</v>
      </c>
      <c r="F1" s="13" t="s">
        <v>164</v>
      </c>
      <c r="G1" s="13" t="s">
        <v>165</v>
      </c>
      <c r="H1" s="13" t="s">
        <v>166</v>
      </c>
      <c r="I1" s="13" t="s">
        <v>167</v>
      </c>
      <c r="J1" s="13" t="s">
        <v>168</v>
      </c>
      <c r="K1" s="13" t="s">
        <v>169</v>
      </c>
      <c r="L1" s="13" t="s">
        <v>170</v>
      </c>
      <c r="M1" s="13" t="s">
        <v>171</v>
      </c>
      <c r="N1" s="13" t="s">
        <v>172</v>
      </c>
      <c r="O1" s="13" t="s">
        <v>173</v>
      </c>
      <c r="P1" s="13" t="s">
        <v>174</v>
      </c>
    </row>
    <row r="2" spans="1:16">
      <c r="A2" s="14">
        <v>0.1</v>
      </c>
      <c r="B2" s="14">
        <v>52</v>
      </c>
      <c r="C2" s="14">
        <v>52</v>
      </c>
      <c r="D2" s="9">
        <v>0</v>
      </c>
      <c r="E2" s="18">
        <v>112.6355469896082</v>
      </c>
      <c r="F2" s="15">
        <v>112.159064059838</v>
      </c>
      <c r="G2" s="16">
        <v>0.42303068836179569</v>
      </c>
      <c r="H2" s="15">
        <v>61086.4515381413</v>
      </c>
      <c r="I2" s="15">
        <v>61086.4515381413</v>
      </c>
      <c r="J2" s="15">
        <v>25</v>
      </c>
      <c r="K2" s="15">
        <v>29.735974524917388</v>
      </c>
      <c r="L2" s="15">
        <v>63.249668765074212</v>
      </c>
      <c r="M2" s="14">
        <v>0</v>
      </c>
      <c r="N2" s="14">
        <v>1</v>
      </c>
      <c r="O2" s="14">
        <v>6</v>
      </c>
      <c r="P2" s="14" t="s">
        <v>175</v>
      </c>
    </row>
    <row r="3" spans="1:16">
      <c r="A3" s="14">
        <v>0.15</v>
      </c>
      <c r="B3" s="14">
        <v>52</v>
      </c>
      <c r="C3" s="14">
        <v>52</v>
      </c>
      <c r="D3" s="9">
        <v>0</v>
      </c>
      <c r="E3" s="18">
        <v>112.6355469896082</v>
      </c>
      <c r="F3" s="15">
        <v>112.159064059838</v>
      </c>
      <c r="G3" s="16">
        <v>0.42303068836179569</v>
      </c>
      <c r="H3" s="15">
        <v>61086.4515381413</v>
      </c>
      <c r="I3" s="15">
        <v>61086.4515381413</v>
      </c>
      <c r="J3" s="15">
        <v>25</v>
      </c>
      <c r="K3" s="15">
        <v>29.735974524917388</v>
      </c>
      <c r="L3" s="15">
        <v>63.249668765074212</v>
      </c>
      <c r="M3" s="14">
        <v>0</v>
      </c>
      <c r="N3" s="14">
        <v>1</v>
      </c>
      <c r="O3" s="14">
        <v>6</v>
      </c>
      <c r="P3" s="14" t="s">
        <v>176</v>
      </c>
    </row>
    <row r="4" spans="1:16">
      <c r="A4" s="14">
        <v>0.2</v>
      </c>
      <c r="B4" s="14">
        <v>52</v>
      </c>
      <c r="C4" s="14">
        <v>52</v>
      </c>
      <c r="D4" s="9">
        <v>0</v>
      </c>
      <c r="E4" s="18">
        <v>112.6355469896082</v>
      </c>
      <c r="F4" s="15">
        <v>112.159064059838</v>
      </c>
      <c r="G4" s="16">
        <v>0.42303068836179569</v>
      </c>
      <c r="H4" s="15">
        <v>61086.4515381413</v>
      </c>
      <c r="I4" s="15">
        <v>61086.4515381413</v>
      </c>
      <c r="J4" s="15">
        <v>25</v>
      </c>
      <c r="K4" s="15">
        <v>28.833379072537898</v>
      </c>
      <c r="L4" s="15">
        <v>58.954006636233522</v>
      </c>
      <c r="M4" s="14">
        <v>0</v>
      </c>
      <c r="N4" s="14">
        <v>1</v>
      </c>
      <c r="O4" s="14">
        <v>6</v>
      </c>
      <c r="P4" s="14" t="s">
        <v>177</v>
      </c>
    </row>
    <row r="5" spans="1:16">
      <c r="A5" s="14">
        <v>0.25</v>
      </c>
      <c r="B5" s="14">
        <v>52</v>
      </c>
      <c r="C5" s="14">
        <v>52</v>
      </c>
      <c r="D5" s="9">
        <v>0</v>
      </c>
      <c r="E5" s="18">
        <v>112.6355469896082</v>
      </c>
      <c r="F5" s="15">
        <v>112.159064059838</v>
      </c>
      <c r="G5" s="16">
        <v>0.42303068836179569</v>
      </c>
      <c r="H5" s="15">
        <v>61086.4515381413</v>
      </c>
      <c r="I5" s="15">
        <v>61086.4515381413</v>
      </c>
      <c r="J5" s="15">
        <v>24.6482015849625</v>
      </c>
      <c r="K5" s="15">
        <v>25.52241340848424</v>
      </c>
      <c r="L5" s="15">
        <v>49.770412167557147</v>
      </c>
      <c r="M5" s="14">
        <v>1</v>
      </c>
      <c r="N5" s="14">
        <v>4</v>
      </c>
      <c r="O5" s="14">
        <v>6</v>
      </c>
      <c r="P5" s="14" t="s">
        <v>177</v>
      </c>
    </row>
    <row r="6" spans="1:16">
      <c r="A6" s="14">
        <v>0.3</v>
      </c>
      <c r="B6" s="14">
        <v>54</v>
      </c>
      <c r="C6" s="14">
        <v>54</v>
      </c>
      <c r="D6" s="9">
        <v>0</v>
      </c>
      <c r="E6" s="18">
        <v>118.31778537188799</v>
      </c>
      <c r="F6" s="15">
        <v>117.8564361400867</v>
      </c>
      <c r="G6" s="16">
        <v>0.38992382282283111</v>
      </c>
      <c r="H6" s="15">
        <v>64291.796516334223</v>
      </c>
      <c r="I6" s="15">
        <v>64291.796516334223</v>
      </c>
      <c r="J6" s="15">
        <v>14.35183531755392</v>
      </c>
      <c r="K6" s="15">
        <v>21.058543689241439</v>
      </c>
      <c r="L6" s="15">
        <v>36.908082177585733</v>
      </c>
      <c r="M6" s="14">
        <v>3</v>
      </c>
      <c r="N6" s="14">
        <v>5</v>
      </c>
      <c r="O6" s="14">
        <v>8</v>
      </c>
      <c r="P6" s="14" t="s">
        <v>178</v>
      </c>
    </row>
  </sheetData>
  <autoFilter ref="A1:P6" xr:uid="{00000000-0009-0000-0000-00000A000000}"/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"/>
  <sheetViews>
    <sheetView showGridLines="0" workbookViewId="0">
      <pane ySplit="1" topLeftCell="A2" activePane="bottomLeft" state="frozen"/>
      <selection pane="bottomLeft"/>
    </sheetView>
  </sheetViews>
  <sheetFormatPr defaultRowHeight="14.4"/>
  <cols>
    <col min="1" max="1" width="21" customWidth="1"/>
    <col min="2" max="3" width="5" customWidth="1"/>
    <col min="4" max="4" width="8" customWidth="1"/>
    <col min="5" max="5" width="6" customWidth="1"/>
    <col min="6" max="6" width="8" customWidth="1"/>
    <col min="7" max="7" width="7" customWidth="1"/>
    <col min="8" max="13" width="6" customWidth="1"/>
    <col min="14" max="14" width="4" customWidth="1"/>
  </cols>
  <sheetData>
    <row r="1" spans="1:14" ht="43.2">
      <c r="A1" s="13" t="s">
        <v>127</v>
      </c>
      <c r="B1" s="13" t="s">
        <v>128</v>
      </c>
      <c r="C1" s="13" t="s">
        <v>109</v>
      </c>
      <c r="D1" s="13" t="s">
        <v>137</v>
      </c>
      <c r="E1" s="13" t="s">
        <v>179</v>
      </c>
      <c r="F1" s="13" t="s">
        <v>180</v>
      </c>
      <c r="G1" s="13" t="s">
        <v>181</v>
      </c>
      <c r="H1" s="13" t="s">
        <v>182</v>
      </c>
      <c r="I1" s="13" t="s">
        <v>183</v>
      </c>
      <c r="J1" s="13" t="s">
        <v>184</v>
      </c>
      <c r="K1" s="13" t="s">
        <v>185</v>
      </c>
      <c r="L1" s="13" t="s">
        <v>186</v>
      </c>
      <c r="M1" s="13" t="s">
        <v>187</v>
      </c>
      <c r="N1" s="13" t="s">
        <v>188</v>
      </c>
    </row>
    <row r="2" spans="1:14">
      <c r="A2" s="14" t="s">
        <v>140</v>
      </c>
      <c r="B2" s="14">
        <v>52</v>
      </c>
      <c r="C2" s="14">
        <v>80</v>
      </c>
      <c r="D2" s="9" t="s">
        <v>141</v>
      </c>
      <c r="E2" s="9" t="s">
        <v>142</v>
      </c>
      <c r="F2" s="14" t="s">
        <v>142</v>
      </c>
      <c r="G2" s="14" t="s">
        <v>142</v>
      </c>
      <c r="H2" s="14" t="s">
        <v>142</v>
      </c>
      <c r="I2" s="14" t="s">
        <v>142</v>
      </c>
      <c r="J2" s="14" t="s">
        <v>142</v>
      </c>
      <c r="K2" s="14" t="s">
        <v>142</v>
      </c>
      <c r="L2" s="14" t="s">
        <v>142</v>
      </c>
      <c r="M2" s="14" t="s">
        <v>142</v>
      </c>
      <c r="N2" s="14" t="s">
        <v>189</v>
      </c>
    </row>
    <row r="3" spans="1:14">
      <c r="A3" s="14" t="s">
        <v>144</v>
      </c>
      <c r="B3" s="14">
        <v>52</v>
      </c>
      <c r="C3" s="14">
        <v>80</v>
      </c>
      <c r="D3" s="9" t="s">
        <v>141</v>
      </c>
      <c r="E3" s="9" t="s">
        <v>142</v>
      </c>
      <c r="F3" s="14" t="s">
        <v>142</v>
      </c>
      <c r="G3" s="14" t="s">
        <v>142</v>
      </c>
      <c r="H3" s="14" t="s">
        <v>142</v>
      </c>
      <c r="I3" s="14" t="s">
        <v>142</v>
      </c>
      <c r="J3" s="14" t="s">
        <v>142</v>
      </c>
      <c r="K3" s="14" t="s">
        <v>142</v>
      </c>
      <c r="L3" s="14" t="s">
        <v>142</v>
      </c>
      <c r="M3" s="14" t="s">
        <v>142</v>
      </c>
      <c r="N3" s="14" t="s">
        <v>189</v>
      </c>
    </row>
    <row r="4" spans="1:14">
      <c r="A4" s="14" t="s">
        <v>146</v>
      </c>
      <c r="B4" s="14">
        <v>18</v>
      </c>
      <c r="C4" s="14">
        <v>80</v>
      </c>
      <c r="D4" s="9" t="s">
        <v>142</v>
      </c>
      <c r="E4" s="9" t="s">
        <v>142</v>
      </c>
      <c r="F4" s="14" t="s">
        <v>142</v>
      </c>
      <c r="G4" s="14" t="s">
        <v>142</v>
      </c>
      <c r="H4" s="14" t="s">
        <v>142</v>
      </c>
      <c r="I4" s="14" t="s">
        <v>142</v>
      </c>
      <c r="J4" s="14" t="s">
        <v>142</v>
      </c>
      <c r="K4" s="14" t="s">
        <v>142</v>
      </c>
      <c r="L4" s="14" t="s">
        <v>142</v>
      </c>
      <c r="M4" s="14" t="s">
        <v>142</v>
      </c>
      <c r="N4" s="14" t="s">
        <v>189</v>
      </c>
    </row>
    <row r="5" spans="1:14">
      <c r="A5" s="14" t="s">
        <v>148</v>
      </c>
      <c r="B5" s="14">
        <v>18</v>
      </c>
      <c r="C5" s="14">
        <v>80</v>
      </c>
      <c r="D5" s="9" t="s">
        <v>141</v>
      </c>
      <c r="E5" s="9" t="s">
        <v>142</v>
      </c>
      <c r="F5" s="14" t="s">
        <v>142</v>
      </c>
      <c r="G5" s="14" t="s">
        <v>142</v>
      </c>
      <c r="H5" s="14" t="s">
        <v>142</v>
      </c>
      <c r="I5" s="14" t="s">
        <v>142</v>
      </c>
      <c r="J5" s="14" t="s">
        <v>142</v>
      </c>
      <c r="K5" s="14" t="s">
        <v>142</v>
      </c>
      <c r="L5" s="14" t="s">
        <v>142</v>
      </c>
      <c r="M5" s="14" t="s">
        <v>142</v>
      </c>
      <c r="N5" s="14" t="s">
        <v>189</v>
      </c>
    </row>
  </sheetData>
  <autoFilter ref="A1:N5" xr:uid="{00000000-0009-0000-0000-00000B000000}"/>
  <phoneticPr fontId="8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6"/>
  <sheetViews>
    <sheetView showGridLines="0" workbookViewId="0">
      <pane ySplit="1" topLeftCell="A2" activePane="bottomLeft" state="frozen"/>
      <selection pane="bottomLeft"/>
    </sheetView>
  </sheetViews>
  <sheetFormatPr defaultRowHeight="14.4"/>
  <cols>
    <col min="1" max="1" width="7" customWidth="1"/>
    <col min="2" max="11" width="20" customWidth="1"/>
  </cols>
  <sheetData>
    <row r="1" spans="1:11" ht="43.2">
      <c r="A1" s="13" t="s">
        <v>24</v>
      </c>
      <c r="B1" s="13" t="s">
        <v>118</v>
      </c>
      <c r="C1" s="13" t="s">
        <v>190</v>
      </c>
      <c r="D1" s="13" t="s">
        <v>191</v>
      </c>
      <c r="E1" s="13" t="s">
        <v>192</v>
      </c>
      <c r="F1" s="13" t="s">
        <v>193</v>
      </c>
      <c r="G1" s="13" t="s">
        <v>194</v>
      </c>
      <c r="H1" s="13" t="s">
        <v>195</v>
      </c>
      <c r="I1" s="13" t="s">
        <v>196</v>
      </c>
      <c r="J1" s="13" t="s">
        <v>197</v>
      </c>
      <c r="K1" s="13" t="s">
        <v>198</v>
      </c>
    </row>
    <row r="2" spans="1:11">
      <c r="A2" s="14" t="s">
        <v>33</v>
      </c>
      <c r="B2" s="15" t="s">
        <v>199</v>
      </c>
      <c r="C2" s="15" t="s">
        <v>200</v>
      </c>
      <c r="D2" s="18" t="s">
        <v>201</v>
      </c>
      <c r="E2" s="18" t="s">
        <v>202</v>
      </c>
      <c r="F2" s="15" t="s">
        <v>203</v>
      </c>
      <c r="G2" s="15" t="s">
        <v>203</v>
      </c>
      <c r="H2" s="15" t="s">
        <v>202</v>
      </c>
      <c r="I2" s="15" t="s">
        <v>204</v>
      </c>
      <c r="J2" s="15" t="s">
        <v>205</v>
      </c>
      <c r="K2" s="15" t="s">
        <v>206</v>
      </c>
    </row>
    <row r="3" spans="1:11">
      <c r="A3" s="14" t="s">
        <v>39</v>
      </c>
      <c r="B3" s="15" t="s">
        <v>207</v>
      </c>
      <c r="C3" s="15" t="s">
        <v>208</v>
      </c>
      <c r="D3" s="18" t="s">
        <v>209</v>
      </c>
      <c r="E3" s="18" t="s">
        <v>210</v>
      </c>
      <c r="F3" s="15" t="s">
        <v>211</v>
      </c>
      <c r="G3" s="15" t="s">
        <v>211</v>
      </c>
      <c r="H3" s="15" t="s">
        <v>210</v>
      </c>
      <c r="I3" s="15" t="s">
        <v>212</v>
      </c>
      <c r="J3" s="15" t="s">
        <v>213</v>
      </c>
      <c r="K3" s="15" t="s">
        <v>214</v>
      </c>
    </row>
    <row r="4" spans="1:11">
      <c r="A4" s="14" t="s">
        <v>44</v>
      </c>
      <c r="B4" s="15" t="s">
        <v>215</v>
      </c>
      <c r="C4" s="15" t="s">
        <v>216</v>
      </c>
      <c r="D4" s="18" t="s">
        <v>217</v>
      </c>
      <c r="E4" s="18" t="s">
        <v>218</v>
      </c>
      <c r="F4" s="15" t="s">
        <v>219</v>
      </c>
      <c r="G4" s="15" t="s">
        <v>219</v>
      </c>
      <c r="H4" s="15" t="s">
        <v>218</v>
      </c>
      <c r="I4" s="15" t="s">
        <v>220</v>
      </c>
      <c r="J4" s="15" t="s">
        <v>221</v>
      </c>
      <c r="K4" s="15" t="s">
        <v>222</v>
      </c>
    </row>
    <row r="5" spans="1:11">
      <c r="A5" s="14" t="s">
        <v>49</v>
      </c>
      <c r="B5" s="15" t="s">
        <v>223</v>
      </c>
      <c r="C5" s="15" t="s">
        <v>224</v>
      </c>
      <c r="D5" s="18" t="s">
        <v>225</v>
      </c>
      <c r="E5" s="18" t="s">
        <v>226</v>
      </c>
      <c r="F5" s="15" t="s">
        <v>227</v>
      </c>
      <c r="G5" s="15" t="s">
        <v>227</v>
      </c>
      <c r="H5" s="15" t="s">
        <v>226</v>
      </c>
      <c r="I5" s="15" t="s">
        <v>228</v>
      </c>
      <c r="J5" s="15" t="s">
        <v>229</v>
      </c>
      <c r="K5" s="15" t="s">
        <v>230</v>
      </c>
    </row>
    <row r="6" spans="1:11">
      <c r="A6" s="14" t="s">
        <v>52</v>
      </c>
      <c r="B6" s="15" t="s">
        <v>231</v>
      </c>
      <c r="C6" s="15" t="s">
        <v>232</v>
      </c>
      <c r="D6" s="18" t="s">
        <v>233</v>
      </c>
      <c r="E6" s="18" t="s">
        <v>234</v>
      </c>
      <c r="F6" s="15" t="s">
        <v>235</v>
      </c>
      <c r="G6" s="15" t="s">
        <v>235</v>
      </c>
      <c r="H6" s="15" t="s">
        <v>234</v>
      </c>
      <c r="I6" s="15" t="s">
        <v>236</v>
      </c>
      <c r="J6" s="15" t="s">
        <v>237</v>
      </c>
      <c r="K6" s="15" t="s">
        <v>238</v>
      </c>
    </row>
    <row r="7" spans="1:11">
      <c r="A7" s="14" t="s">
        <v>55</v>
      </c>
      <c r="B7" s="15" t="s">
        <v>239</v>
      </c>
      <c r="C7" s="15" t="s">
        <v>240</v>
      </c>
      <c r="D7" s="18" t="s">
        <v>241</v>
      </c>
      <c r="E7" s="18" t="s">
        <v>242</v>
      </c>
      <c r="F7" s="15" t="s">
        <v>243</v>
      </c>
      <c r="G7" s="15" t="s">
        <v>243</v>
      </c>
      <c r="H7" s="15" t="s">
        <v>242</v>
      </c>
      <c r="I7" s="15" t="s">
        <v>244</v>
      </c>
      <c r="J7" s="15" t="s">
        <v>245</v>
      </c>
      <c r="K7" s="15" t="s">
        <v>246</v>
      </c>
    </row>
    <row r="8" spans="1:11">
      <c r="A8" s="14" t="s">
        <v>58</v>
      </c>
      <c r="B8" s="15" t="s">
        <v>247</v>
      </c>
      <c r="C8" s="15" t="s">
        <v>248</v>
      </c>
      <c r="D8" s="18" t="s">
        <v>249</v>
      </c>
      <c r="E8" s="18" t="s">
        <v>250</v>
      </c>
      <c r="F8" s="15" t="s">
        <v>251</v>
      </c>
      <c r="G8" s="15" t="s">
        <v>251</v>
      </c>
      <c r="H8" s="15" t="s">
        <v>250</v>
      </c>
      <c r="I8" s="15" t="s">
        <v>252</v>
      </c>
      <c r="J8" s="15" t="s">
        <v>253</v>
      </c>
      <c r="K8" s="15" t="s">
        <v>254</v>
      </c>
    </row>
    <row r="9" spans="1:11">
      <c r="A9" s="14" t="s">
        <v>61</v>
      </c>
      <c r="B9" s="15" t="s">
        <v>255</v>
      </c>
      <c r="C9" s="15" t="s">
        <v>256</v>
      </c>
      <c r="D9" s="18" t="s">
        <v>257</v>
      </c>
      <c r="E9" s="18" t="s">
        <v>258</v>
      </c>
      <c r="F9" s="15" t="s">
        <v>259</v>
      </c>
      <c r="G9" s="15" t="s">
        <v>259</v>
      </c>
      <c r="H9" s="15" t="s">
        <v>258</v>
      </c>
      <c r="I9" s="15" t="s">
        <v>260</v>
      </c>
      <c r="J9" s="15" t="s">
        <v>261</v>
      </c>
      <c r="K9" s="15" t="s">
        <v>262</v>
      </c>
    </row>
    <row r="10" spans="1:11">
      <c r="A10" s="14" t="s">
        <v>64</v>
      </c>
      <c r="B10" s="15" t="s">
        <v>263</v>
      </c>
      <c r="C10" s="15" t="s">
        <v>264</v>
      </c>
      <c r="D10" s="18" t="s">
        <v>265</v>
      </c>
      <c r="E10" s="18" t="s">
        <v>266</v>
      </c>
      <c r="F10" s="15" t="s">
        <v>267</v>
      </c>
      <c r="G10" s="15" t="s">
        <v>267</v>
      </c>
      <c r="H10" s="15" t="s">
        <v>266</v>
      </c>
      <c r="I10" s="15" t="s">
        <v>268</v>
      </c>
      <c r="J10" s="15" t="s">
        <v>269</v>
      </c>
      <c r="K10" s="15" t="s">
        <v>270</v>
      </c>
    </row>
    <row r="11" spans="1:11">
      <c r="A11" s="14" t="s">
        <v>68</v>
      </c>
      <c r="B11" s="15" t="s">
        <v>271</v>
      </c>
      <c r="C11" s="15" t="s">
        <v>272</v>
      </c>
      <c r="D11" s="18" t="s">
        <v>273</v>
      </c>
      <c r="E11" s="18" t="s">
        <v>274</v>
      </c>
      <c r="F11" s="15" t="s">
        <v>275</v>
      </c>
      <c r="G11" s="15" t="s">
        <v>275</v>
      </c>
      <c r="H11" s="15" t="s">
        <v>274</v>
      </c>
      <c r="I11" s="15" t="s">
        <v>276</v>
      </c>
      <c r="J11" s="15" t="s">
        <v>277</v>
      </c>
      <c r="K11" s="15" t="s">
        <v>278</v>
      </c>
    </row>
    <row r="12" spans="1:11">
      <c r="A12" s="14" t="s">
        <v>71</v>
      </c>
      <c r="B12" s="15" t="s">
        <v>279</v>
      </c>
      <c r="C12" s="15" t="s">
        <v>280</v>
      </c>
      <c r="D12" s="18" t="s">
        <v>281</v>
      </c>
      <c r="E12" s="18" t="s">
        <v>282</v>
      </c>
      <c r="F12" s="15" t="s">
        <v>283</v>
      </c>
      <c r="G12" s="15" t="s">
        <v>283</v>
      </c>
      <c r="H12" s="15" t="s">
        <v>282</v>
      </c>
      <c r="I12" s="15" t="s">
        <v>284</v>
      </c>
      <c r="J12" s="15" t="s">
        <v>285</v>
      </c>
      <c r="K12" s="15" t="s">
        <v>286</v>
      </c>
    </row>
    <row r="13" spans="1:11">
      <c r="A13" s="14" t="s">
        <v>74</v>
      </c>
      <c r="B13" s="15" t="s">
        <v>287</v>
      </c>
      <c r="C13" s="15" t="s">
        <v>288</v>
      </c>
      <c r="D13" s="18" t="s">
        <v>289</v>
      </c>
      <c r="E13" s="18" t="s">
        <v>290</v>
      </c>
      <c r="F13" s="15" t="s">
        <v>291</v>
      </c>
      <c r="G13" s="15" t="s">
        <v>291</v>
      </c>
      <c r="H13" s="15" t="s">
        <v>290</v>
      </c>
      <c r="I13" s="15" t="s">
        <v>292</v>
      </c>
      <c r="J13" s="15" t="s">
        <v>293</v>
      </c>
      <c r="K13" s="15" t="s">
        <v>294</v>
      </c>
    </row>
    <row r="14" spans="1:11">
      <c r="A14" s="14" t="s">
        <v>77</v>
      </c>
      <c r="B14" s="15" t="s">
        <v>295</v>
      </c>
      <c r="C14" s="15" t="s">
        <v>296</v>
      </c>
      <c r="D14" s="18" t="s">
        <v>297</v>
      </c>
      <c r="E14" s="18" t="s">
        <v>298</v>
      </c>
      <c r="F14" s="15" t="s">
        <v>299</v>
      </c>
      <c r="G14" s="15" t="s">
        <v>299</v>
      </c>
      <c r="H14" s="15" t="s">
        <v>298</v>
      </c>
      <c r="I14" s="15" t="s">
        <v>300</v>
      </c>
      <c r="J14" s="15" t="s">
        <v>301</v>
      </c>
      <c r="K14" s="15" t="s">
        <v>302</v>
      </c>
    </row>
    <row r="15" spans="1:11">
      <c r="A15" s="14" t="s">
        <v>80</v>
      </c>
      <c r="B15" s="15" t="s">
        <v>303</v>
      </c>
      <c r="C15" s="15" t="s">
        <v>304</v>
      </c>
      <c r="D15" s="18" t="s">
        <v>305</v>
      </c>
      <c r="E15" s="18" t="s">
        <v>306</v>
      </c>
      <c r="F15" s="15" t="s">
        <v>307</v>
      </c>
      <c r="G15" s="15" t="s">
        <v>307</v>
      </c>
      <c r="H15" s="15" t="s">
        <v>306</v>
      </c>
      <c r="I15" s="15" t="s">
        <v>308</v>
      </c>
      <c r="J15" s="15" t="s">
        <v>309</v>
      </c>
      <c r="K15" s="15" t="s">
        <v>310</v>
      </c>
    </row>
    <row r="16" spans="1:11">
      <c r="A16" s="14" t="s">
        <v>83</v>
      </c>
      <c r="B16" s="15" t="s">
        <v>311</v>
      </c>
      <c r="C16" s="15" t="s">
        <v>312</v>
      </c>
      <c r="D16" s="18" t="s">
        <v>313</v>
      </c>
      <c r="E16" s="18" t="s">
        <v>314</v>
      </c>
      <c r="F16" s="15" t="s">
        <v>315</v>
      </c>
      <c r="G16" s="15" t="s">
        <v>315</v>
      </c>
      <c r="H16" s="15" t="s">
        <v>314</v>
      </c>
      <c r="I16" s="15" t="s">
        <v>316</v>
      </c>
      <c r="J16" s="15" t="s">
        <v>317</v>
      </c>
      <c r="K16" s="15" t="s">
        <v>318</v>
      </c>
    </row>
  </sheetData>
  <autoFilter ref="A1:K16" xr:uid="{00000000-0009-0000-0000-00000C000000}"/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填写说明</vt:lpstr>
      <vt:lpstr>Q1_单点组批</vt:lpstr>
      <vt:lpstr>Q2_运输架次</vt:lpstr>
      <vt:lpstr>Q2_逐箱交付</vt:lpstr>
      <vt:lpstr>Q3_中继架次</vt:lpstr>
      <vt:lpstr>Q3_通信保障</vt:lpstr>
      <vt:lpstr>Q4_分区配置</vt:lpstr>
      <vt:lpstr>Q1_架次明细</vt:lpstr>
      <vt:lpstr>Q1_方法对比</vt:lpstr>
      <vt:lpstr>Q1_安全载荷</vt:lpstr>
      <vt:lpstr>Q1_敏感性</vt:lpstr>
      <vt:lpstr>Q1_约束核验</vt:lpstr>
      <vt:lpstr>Q1_路线几何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Gerard He</cp:lastModifiedBy>
  <dcterms:created xsi:type="dcterms:W3CDTF">2026-08-09T18:04:00Z</dcterms:created>
  <dcterms:modified xsi:type="dcterms:W3CDTF">2026-09-23T16:41:48Z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D374AC9C6D2E4E93A1168B45B70D4F9C_12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